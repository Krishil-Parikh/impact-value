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E39E603-3C07-41C2-A3F9-9CBAB85BAE4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arrier Score" sheetId="2" r:id="rId1"/>
    <sheet name="Cost Factor" sheetId="5" r:id="rId2"/>
    <sheet name="KPI Factor" sheetId="4" r:id="rId3"/>
    <sheet name="ISRI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2" l="1"/>
  <c r="H3" i="2" l="1"/>
  <c r="I3" i="2" s="1"/>
  <c r="H15" i="2"/>
  <c r="C24" i="5"/>
  <c r="I5" i="2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B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B9" i="1"/>
  <c r="C8" i="1"/>
  <c r="D8" i="1"/>
  <c r="D12" i="1" s="1"/>
  <c r="E8" i="1"/>
  <c r="F8" i="1"/>
  <c r="G8" i="1"/>
  <c r="G12" i="1" s="1"/>
  <c r="H8" i="1"/>
  <c r="I8" i="1"/>
  <c r="J8" i="1"/>
  <c r="J12" i="1" s="1"/>
  <c r="K8" i="1"/>
  <c r="L8" i="1"/>
  <c r="L12" i="1" s="1"/>
  <c r="M8" i="1"/>
  <c r="M12" i="1" s="1"/>
  <c r="N8" i="1"/>
  <c r="N12" i="1" s="1"/>
  <c r="O8" i="1"/>
  <c r="O12" i="1" s="1"/>
  <c r="P8" i="1"/>
  <c r="B8" i="1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E12" i="1" l="1"/>
  <c r="I12" i="1"/>
  <c r="H12" i="1"/>
  <c r="K12" i="1"/>
  <c r="B12" i="1"/>
  <c r="P12" i="1"/>
  <c r="C12" i="1"/>
  <c r="F12" i="1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I61" i="2"/>
  <c r="K61" i="2" s="1"/>
  <c r="H60" i="2"/>
  <c r="I60" i="2" s="1"/>
  <c r="K60" i="2" s="1"/>
  <c r="I59" i="2"/>
  <c r="K59" i="2" s="1"/>
  <c r="H57" i="2"/>
  <c r="I57" i="2" s="1"/>
  <c r="K57" i="2" s="1"/>
  <c r="I56" i="2"/>
  <c r="K56" i="2" s="1"/>
  <c r="I53" i="2"/>
  <c r="K53" i="2" s="1"/>
  <c r="I52" i="2"/>
  <c r="K52" i="2" s="1"/>
  <c r="H51" i="2"/>
  <c r="I51" i="2" s="1"/>
  <c r="K51" i="2" s="1"/>
  <c r="K54" i="2" s="1"/>
  <c r="H48" i="2"/>
  <c r="I48" i="2" s="1"/>
  <c r="K48" i="2" s="1"/>
  <c r="I47" i="2"/>
  <c r="I45" i="2"/>
  <c r="K45" i="2" s="1"/>
  <c r="H44" i="2"/>
  <c r="I44" i="2" s="1"/>
  <c r="K44" i="2" s="1"/>
  <c r="K43" i="2"/>
  <c r="I49" i="2"/>
  <c r="K49" i="2" s="1"/>
  <c r="K47" i="2"/>
  <c r="I41" i="2"/>
  <c r="K41" i="2"/>
  <c r="I40" i="2"/>
  <c r="K40" i="2" s="1"/>
  <c r="H39" i="2"/>
  <c r="I39" i="2" s="1"/>
  <c r="K39" i="2" s="1"/>
  <c r="I37" i="2"/>
  <c r="K37" i="2" s="1"/>
  <c r="I36" i="2"/>
  <c r="K36" i="2" s="1"/>
  <c r="H35" i="2"/>
  <c r="I35" i="2" s="1"/>
  <c r="K35" i="2" s="1"/>
  <c r="K38" i="2" s="1"/>
  <c r="I31" i="2"/>
  <c r="K33" i="2"/>
  <c r="K31" i="2"/>
  <c r="H33" i="2"/>
  <c r="H32" i="2"/>
  <c r="I32" i="2" s="1"/>
  <c r="K32" i="2" s="1"/>
  <c r="I29" i="2"/>
  <c r="K29" i="2" s="1"/>
  <c r="H28" i="2"/>
  <c r="I28" i="2" s="1"/>
  <c r="K28" i="2" s="1"/>
  <c r="H27" i="2"/>
  <c r="I27" i="2" s="1"/>
  <c r="K27" i="2" s="1"/>
  <c r="I21" i="2"/>
  <c r="K21" i="2" s="1"/>
  <c r="I20" i="2"/>
  <c r="K20" i="2" s="1"/>
  <c r="H19" i="2"/>
  <c r="I19" i="2" s="1"/>
  <c r="K19" i="2" s="1"/>
  <c r="K22" i="2" s="1"/>
  <c r="K25" i="2"/>
  <c r="H25" i="2"/>
  <c r="I24" i="2"/>
  <c r="K24" i="2" s="1"/>
  <c r="H23" i="2"/>
  <c r="I23" i="2" s="1"/>
  <c r="K23" i="2" s="1"/>
  <c r="K26" i="2" s="1"/>
  <c r="K62" i="2" l="1"/>
  <c r="K42" i="2"/>
  <c r="K30" i="2"/>
  <c r="K50" i="2"/>
  <c r="K46" i="2"/>
  <c r="K58" i="2"/>
  <c r="K34" i="2"/>
  <c r="I15" i="2"/>
  <c r="K15" i="2" s="1"/>
  <c r="I17" i="2"/>
  <c r="K17" i="2" s="1"/>
  <c r="H16" i="2"/>
  <c r="I16" i="2" s="1"/>
  <c r="K16" i="2" s="1"/>
  <c r="H9" i="2"/>
  <c r="I9" i="2" s="1"/>
  <c r="K9" i="2" s="1"/>
  <c r="H7" i="2"/>
  <c r="I13" i="2"/>
  <c r="K13" i="2" s="1"/>
  <c r="I12" i="2"/>
  <c r="K12" i="2" s="1"/>
  <c r="H11" i="2"/>
  <c r="I11" i="2" s="1"/>
  <c r="K11" i="2" s="1"/>
  <c r="I8" i="2"/>
  <c r="K8" i="2" s="1"/>
  <c r="K5" i="2"/>
  <c r="I4" i="2"/>
  <c r="K4" i="2" s="1"/>
  <c r="K3" i="2"/>
  <c r="K6" i="2" s="1"/>
  <c r="K18" i="2" l="1"/>
  <c r="K14" i="2"/>
  <c r="I7" i="2"/>
  <c r="K7" i="2" s="1"/>
  <c r="K10" i="2" s="1"/>
  <c r="Q5" i="1"/>
  <c r="Q6" i="1"/>
  <c r="Q4" i="1"/>
</calcChain>
</file>

<file path=xl/sharedStrings.xml><?xml version="1.0" encoding="utf-8"?>
<sst xmlns="http://schemas.openxmlformats.org/spreadsheetml/2006/main" count="194" uniqueCount="147">
  <si>
    <t>Barrier Score Caluction Table</t>
  </si>
  <si>
    <t>Sr. No.</t>
  </si>
  <si>
    <t>Indicator</t>
  </si>
  <si>
    <t>Input</t>
  </si>
  <si>
    <t>Indicator Calculation</t>
  </si>
  <si>
    <t xml:space="preserve">Normalized Value </t>
  </si>
  <si>
    <t>Weight</t>
  </si>
  <si>
    <t>Score</t>
  </si>
  <si>
    <t>i. Number of training programs offered per year. (Avg-5 , put 5 only if there is more than 5)</t>
  </si>
  <si>
    <t>ii Percentage of employees trained in digital technologies.(% of Employees Trained)</t>
  </si>
  <si>
    <t>iii.Budget allocation for employee training(Budget Allocated as % of total payroll,5% considered to be good budget)</t>
  </si>
  <si>
    <t>Total Barrier Score for "Lack of training for workers and managers"</t>
  </si>
  <si>
    <t>i.Employee turnover rate following the introduction of IoT initiatives.(Considering 20% is alarming rate)</t>
  </si>
  <si>
    <t>ii.Percentage of employees who express resistance to adopting new technologies in surveys.(Resisitance in Surveys)</t>
  </si>
  <si>
    <t>iii.Number of feedback sessions or meetings held to address concerns regarding IoT implementation.(12 Meeting/yr good)</t>
  </si>
  <si>
    <t>Total Barrier Score for "Resistance to change"</t>
  </si>
  <si>
    <t>i.Number of digital skills workshops attended by employees.(Assuming 5 Workshops being Healthy)</t>
  </si>
  <si>
    <t xml:space="preserve">ii.Percentage of employees who are comfortable using digital tools  </t>
  </si>
  <si>
    <t>iii.Adoption rate of digital tools and platforms across the organization.</t>
  </si>
  <si>
    <t>Total Barrier Score for "Lack of digital culture and training"</t>
  </si>
  <si>
    <t>i.Training expenditure as a percentage of total operational costs.</t>
  </si>
  <si>
    <t>ii.Average training hours per employee per year( 40 hours is considered as norm)</t>
  </si>
  <si>
    <t>iii.ROI on training programs (e.g., productivity improvements post-training).</t>
  </si>
  <si>
    <t>Total Barrier Score for "Higher investment in employees' training"</t>
  </si>
  <si>
    <t>i.Number of knowledge-sharing sessions conducted internally.(Assumes 2/month or 24/yr is a good target)</t>
  </si>
  <si>
    <t>ii.Percentage of employees with access to a centralized knowledge management system.(Inverted percentage)</t>
  </si>
  <si>
    <t>iii.Frequency of updates to the knowledge management system.(Weekly=0.25, Monthly=0.5, Quarterly=0.75)</t>
  </si>
  <si>
    <t>Total Barrier Score for "Lack of knowledge management systems"</t>
  </si>
  <si>
    <t>i.Number of non-compliance incidents or penalties related to IoT implementation.(Assumes 5 incidents/yr is a crisis level)</t>
  </si>
  <si>
    <t>ii.Percentage of IoT projects delayed due to regulatory challenges.(Direct percentage)</t>
  </si>
  <si>
    <t>iii.Time taken to achieve compliance with new IoT-related regulations.</t>
  </si>
  <si>
    <t>Total Barrier Score for "Regulatory compliance issues"</t>
  </si>
  <si>
    <t>i.Number of industry standards adopted by the organization.(Assumes 10 is a healthy target)</t>
  </si>
  <si>
    <t>ii.Number of IoT devices and systems that conform to established reference architectures.(Inverted percentage of conformity)</t>
  </si>
  <si>
    <t>iii.Percentage of IoT projects delayed due to lack of standardized solutions. (Direct percentage)</t>
  </si>
  <si>
    <t>Total Barrier Score for "Lack of Standards and Reference Architecture" (Tech.)</t>
  </si>
  <si>
    <t>i.Percentage of work locations with stable internet connectivity. (Inverted percentage)</t>
  </si>
  <si>
    <t>ii.Average internet speed across different locations. (Assumes 50 Mbps is a good)</t>
  </si>
  <si>
    <t>iii.Frequency of IT infrastructure outages impacting IoT operations.(Assumes 8 outages/month is a crisis)</t>
  </si>
  <si>
    <t>Total Barrier Score for "Lack of Internet coverage and IT facilities"</t>
  </si>
  <si>
    <r>
      <rPr>
        <b/>
        <sz val="11"/>
        <color rgb="FF000000"/>
        <rFont val="Aptos Narrow"/>
        <scheme val="minor"/>
      </rPr>
      <t>i.</t>
    </r>
    <r>
      <rPr>
        <sz val="11"/>
        <color rgb="FF000000"/>
        <rFont val="Aptos Narrow"/>
        <scheme val="minor"/>
      </rPr>
      <t xml:space="preserve"> Number of loan applications submitted and approved for technology implementation.(Loan Application Success Rate)</t>
    </r>
  </si>
  <si>
    <r>
      <rPr>
        <b/>
        <sz val="11"/>
        <color rgb="FF000000"/>
        <rFont val="Aptos Narrow"/>
        <scheme val="minor"/>
      </rPr>
      <t>ii:</t>
    </r>
    <r>
      <rPr>
        <sz val="11"/>
        <color rgb="FF000000"/>
        <rFont val="Aptos Narrow"/>
        <scheme val="minor"/>
      </rPr>
      <t xml:space="preserve"> Percentage of projects delayed or canceled due to lack of funding.(% of Projects Delayed)</t>
    </r>
  </si>
  <si>
    <r>
      <rPr>
        <b/>
        <sz val="11"/>
        <color rgb="FF000000"/>
        <rFont val="Aptos Narrow"/>
        <scheme val="minor"/>
      </rPr>
      <t>iii:</t>
    </r>
    <r>
      <rPr>
        <sz val="11"/>
        <color rgb="FF000000"/>
        <rFont val="Aptos Narrow"/>
        <scheme val="minor"/>
      </rPr>
      <t xml:space="preserve"> Ratio of external funding (e.g., grants, loans) to total project costs(Ratio of External Funding)</t>
    </r>
  </si>
  <si>
    <t>Total Barrier Score for "Limited Access to Funding and Credit "</t>
  </si>
  <si>
    <r>
      <rPr>
        <b/>
        <sz val="11"/>
        <color rgb="FF000000"/>
        <rFont val="Aptos Narrow"/>
        <scheme val="minor"/>
      </rPr>
      <t>i:</t>
    </r>
    <r>
      <rPr>
        <sz val="11"/>
        <color rgb="FF000000"/>
        <rFont val="Aptos Narrow"/>
        <scheme val="minor"/>
      </rPr>
      <t xml:space="preserve"> Year-over-year growth in revenue attributed to IoT initiatives. (Assumes 20% is a successful growth target)</t>
    </r>
  </si>
  <si>
    <r>
      <rPr>
        <b/>
        <sz val="11"/>
        <color rgb="FF000000"/>
        <rFont val="Aptos Narrow"/>
        <scheme val="minor"/>
      </rPr>
      <t>ii:</t>
    </r>
    <r>
      <rPr>
        <sz val="11"/>
        <color rgb="FF000000"/>
        <rFont val="Aptos Narrow"/>
        <scheme val="minor"/>
      </rPr>
      <t xml:space="preserve"> Profit margin improvement following IoT implementation.(Assumes 5% is a strong improvement target)</t>
    </r>
  </si>
  <si>
    <r>
      <rPr>
        <b/>
        <sz val="11"/>
        <color rgb="FF000000"/>
        <rFont val="Aptos Narrow"/>
        <scheme val="minor"/>
      </rPr>
      <t>iii:</t>
    </r>
    <r>
      <rPr>
        <sz val="11"/>
        <color rgb="FF000000"/>
        <rFont val="Aptos Narrow"/>
        <scheme val="minor"/>
      </rPr>
      <t xml:space="preserve"> Number of new revenue streams generated through IoT technologies.(Assumes 3 new streams is a successful target)</t>
    </r>
  </si>
  <si>
    <t>Total Barrier Score for "Future viability &amp; profitability  "</t>
  </si>
  <si>
    <r>
      <rPr>
        <b/>
        <sz val="11"/>
        <color rgb="FF000000"/>
        <rFont val="Aptos Narrow"/>
        <scheme val="minor"/>
      </rPr>
      <t>i.</t>
    </r>
    <r>
      <rPr>
        <sz val="11"/>
        <color rgb="FF000000"/>
        <rFont val="Aptos Narrow"/>
        <scheme val="minor"/>
      </rPr>
      <t xml:space="preserve"> Percentage of critical operations reliant on third-party vendors.</t>
    </r>
  </si>
  <si>
    <r>
      <rPr>
        <b/>
        <sz val="11"/>
        <color rgb="FF000000"/>
        <rFont val="Aptos Narrow"/>
        <scheme val="minor"/>
      </rPr>
      <t>ii.</t>
    </r>
    <r>
      <rPr>
        <sz val="11"/>
        <color rgb="FF000000"/>
        <rFont val="Aptos Narrow"/>
        <scheme val="minor"/>
      </rPr>
      <t xml:space="preserve"> Number of vendor-related delays or disruptions per year.</t>
    </r>
  </si>
  <si>
    <r>
      <rPr>
        <b/>
        <sz val="11"/>
        <color rgb="FF000000"/>
        <rFont val="Aptos Narrow"/>
        <scheme val="minor"/>
      </rPr>
      <t>iii:</t>
    </r>
    <r>
      <rPr>
        <sz val="11"/>
        <color rgb="FF000000"/>
        <rFont val="Aptos Narrow"/>
        <scheme val="minor"/>
      </rPr>
      <t xml:space="preserve"> Cost of vendor contracts as a percentage of total operating expenses </t>
    </r>
  </si>
  <si>
    <t>Total Barrier Score for "Dependency on External Vendors "</t>
  </si>
  <si>
    <t>i.Percentage of the total budget allocated to IoT implementation. (IoT Project % of Total IT Budget)</t>
  </si>
  <si>
    <t>ii.Operational and Maintenance Costs- Annual maintenance and support costs as a percentage of total operational costs.(O&amp;M Costs (% of total operational cost)) (Assumes 5% is a crisis level for an SME)</t>
  </si>
  <si>
    <t>iii.Integration Costs- Measure the expenses involved in integrating new IoT technologies with the company's existing IT infrastructure and business systems.	 (Integration Costs (% of total project cost))</t>
  </si>
  <si>
    <t>Total Barrier Score for "High Implementation Cost "</t>
  </si>
  <si>
    <r>
      <rPr>
        <b/>
        <sz val="11"/>
        <color rgb="FF000000"/>
        <rFont val="Aptos Narrow"/>
        <scheme val="minor"/>
      </rPr>
      <t>i:</t>
    </r>
    <r>
      <rPr>
        <sz val="11"/>
        <color rgb="FF000000"/>
        <rFont val="Aptos Narrow"/>
        <scheme val="minor"/>
      </rPr>
      <t xml:space="preserve"> Number of regulatory violations or penalties incurred due to non-compliance.(Regulatory Violations or Penalties) Assumes 4 incidents/yr is a crisis level</t>
    </r>
  </si>
  <si>
    <r>
      <rPr>
        <b/>
        <sz val="11"/>
        <color rgb="FF000000"/>
        <rFont val="Aptos Narrow"/>
        <scheme val="minor"/>
      </rPr>
      <t>ii:</t>
    </r>
    <r>
      <rPr>
        <sz val="11"/>
        <color rgb="FF000000"/>
        <rFont val="Aptos Narrow"/>
        <scheme val="minor"/>
      </rPr>
      <t xml:space="preserve"> Percentage of compliance audits passed without issues.(% of Audits Passed Without Issues) Inverted percentage</t>
    </r>
  </si>
  <si>
    <r>
      <rPr>
        <b/>
        <sz val="11"/>
        <color rgb="FF000000"/>
        <rFont val="Aptos Narrow"/>
        <scheme val="minor"/>
      </rPr>
      <t>iii:</t>
    </r>
    <r>
      <rPr>
        <sz val="11"/>
        <color rgb="FF000000"/>
        <rFont val="Aptos Narrow"/>
        <scheme val="minor"/>
      </rPr>
      <t xml:space="preserve"> Frequency of updates to internal policies and procedures in response to regulatory changes.Frequency of Policy Updates (Quarterly=0.5, Bi-Annually=0.75, Annually=1.0)</t>
    </r>
  </si>
  <si>
    <t>Total Barrier Score for "Compliance with Sector-Specific Regulations"</t>
  </si>
  <si>
    <t>i.Number of standards-compliant IoT devices used within the organization.(Standards-Compliant IoT Devices) (Inverted percentage)</t>
  </si>
  <si>
    <t>ii.Number of industry-specific guidelines or frameworks that have been implemented.(Industry-Specific Guidelines Implemented)(Assumes 10 relevant guidelines exist)</t>
  </si>
  <si>
    <t>Total Barrier Score for "Lack of Regulations and Standards"(Legal)</t>
  </si>
  <si>
    <t>i.Percentage of customers who refuse to share data (survey-based).% of Customers Refusing Data</t>
  </si>
  <si>
    <t>ii.Number of customer complaints or concerns regarding data sharing. (Customer Complaints/Concerns) (Assumes 25 complaints/yr is a crisis level)</t>
  </si>
  <si>
    <t>iii.Number of customer contracts with explicit data-sharing agreements.( % of Contracts with Data Agreements) (Inverted percentage)</t>
  </si>
  <si>
    <t>Total Barrier Score for "Customers are hesitant to share data"</t>
  </si>
  <si>
    <t>Cost Categories</t>
  </si>
  <si>
    <t>Cost Caluction Table</t>
  </si>
  <si>
    <t>Human</t>
  </si>
  <si>
    <t>Organizational</t>
  </si>
  <si>
    <t>Technological</t>
  </si>
  <si>
    <t>Financial</t>
  </si>
  <si>
    <t>Legal</t>
  </si>
  <si>
    <t>Customer</t>
  </si>
  <si>
    <t>Lack of training for workers and Managers</t>
  </si>
  <si>
    <t>Resistance to change</t>
  </si>
  <si>
    <t>Lack of digital culture and training</t>
  </si>
  <si>
    <t>Higher investment in employees' training.</t>
  </si>
  <si>
    <t>Lack of knowledge management systems</t>
  </si>
  <si>
    <t>Regulatory compliance issues</t>
  </si>
  <si>
    <t>Lack of Standards and Reference Architecture</t>
  </si>
  <si>
    <t>Lack of Internet coverage and IT facilities</t>
  </si>
  <si>
    <t xml:space="preserve">Limited Access to Funding and Credit </t>
  </si>
  <si>
    <t xml:space="preserve">Future viability &amp; profitability </t>
  </si>
  <si>
    <t>Dependency on External Vendors</t>
  </si>
  <si>
    <t>High Implementation Cost</t>
  </si>
  <si>
    <t>Compliance with Sector-Specific Regulations</t>
  </si>
  <si>
    <t>Lack of Regulations and Standards</t>
  </si>
  <si>
    <t>Customers are hesitant to share data</t>
  </si>
  <si>
    <t>Aftermarket Services / Warranty</t>
  </si>
  <si>
    <t>Depreciation</t>
  </si>
  <si>
    <t>Labour</t>
  </si>
  <si>
    <t>Maintenance &amp; Repair</t>
  </si>
  <si>
    <t>Raw Materials &amp; Consumables</t>
  </si>
  <si>
    <t>Rental &amp; Operating Lease</t>
  </si>
  <si>
    <t>Research &amp; Development (R&amp;D)</t>
  </si>
  <si>
    <t xml:space="preserve">Selling, General &amp; Administrative Expense </t>
  </si>
  <si>
    <t>Utilities</t>
  </si>
  <si>
    <t>Earnings Before Interest &amp; Taxes (EBIT)</t>
  </si>
  <si>
    <t>Financing Costs</t>
  </si>
  <si>
    <t>Taxation and Compliance Costs</t>
  </si>
  <si>
    <t>Supply Chain and Logistics Costs</t>
  </si>
  <si>
    <t>Technology and Digital Infrastructure Costs</t>
  </si>
  <si>
    <t>Training and Skill Development Costs</t>
  </si>
  <si>
    <t>Regulatory and Compliance Costs</t>
  </si>
  <si>
    <t>Insurance Costs</t>
  </si>
  <si>
    <t>Marketing and Customer Acquisition Costs</t>
  </si>
  <si>
    <t>Environmental and Social Responsibility Costs</t>
  </si>
  <si>
    <t>Quality Control and Assurance</t>
  </si>
  <si>
    <t>Cost Factor</t>
  </si>
  <si>
    <t>KPI Categories</t>
  </si>
  <si>
    <t>KPI Factor Calculation Table</t>
  </si>
  <si>
    <t>Asset &amp; Equipment Efficiency</t>
  </si>
  <si>
    <t>Utilities Efficiency</t>
  </si>
  <si>
    <t>Inventory Efficiency</t>
  </si>
  <si>
    <t>Process Quality</t>
  </si>
  <si>
    <t>Product Quality</t>
  </si>
  <si>
    <t>Safety &amp; Security</t>
  </si>
  <si>
    <t>Planning &amp; Scheduling Effectiveness</t>
  </si>
  <si>
    <t>Time to Market</t>
  </si>
  <si>
    <t>Production Flexibility</t>
  </si>
  <si>
    <t>Customer Satisfaction</t>
  </si>
  <si>
    <t>Supply Chain Efficiency</t>
  </si>
  <si>
    <t>Market Share Growth</t>
  </si>
  <si>
    <t>Employee Productivity</t>
  </si>
  <si>
    <t>Return on Investment (ROI)</t>
  </si>
  <si>
    <t>Financial Health and Stability</t>
  </si>
  <si>
    <t>Talent Retention</t>
  </si>
  <si>
    <t>Customer Retention Rate</t>
  </si>
  <si>
    <t>KPI Factor</t>
  </si>
  <si>
    <t>Dimensions</t>
  </si>
  <si>
    <t>Barriers</t>
  </si>
  <si>
    <t>Total</t>
  </si>
  <si>
    <t>Barrier Score</t>
  </si>
  <si>
    <t>Cost Factor-N</t>
  </si>
  <si>
    <t>KPI Factor-N</t>
  </si>
  <si>
    <t>Barrier Score-N</t>
  </si>
  <si>
    <t>W-Cost</t>
  </si>
  <si>
    <t>W- KPI</t>
  </si>
  <si>
    <t>W-BS</t>
  </si>
  <si>
    <t xml:space="preserve">Impact Value </t>
  </si>
  <si>
    <t>less than 1%</t>
  </si>
  <si>
    <t>Quarterly</t>
  </si>
  <si>
    <t>20 out of 100</t>
  </si>
  <si>
    <t>Rs 20,000 and Total Payroll is 30,00,000</t>
  </si>
  <si>
    <t xml:space="preserve"> 30 out of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</si>
</sst>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FFFFFF"/>
      <name val="Aptos Narrow"/>
      <scheme val="minor"/>
    </font>
    <font>
      <b/>
      <sz val="11"/>
      <color theme="0"/>
      <name val="Aptos Narrow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3" fillId="3" borderId="0" xfId="0" applyFont="1" applyFill="1"/>
    <xf numFmtId="0" fontId="0" fillId="0" borderId="0" xfId="0" applyAlignment="1">
      <alignment horizontal="left"/>
    </xf>
    <xf numFmtId="0" fontId="7" fillId="0" borderId="0" xfId="0" applyFont="1"/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/>
    </xf>
    <xf numFmtId="0" fontId="8" fillId="0" borderId="0" xfId="0" applyFont="1"/>
    <xf numFmtId="10" fontId="0" fillId="0" borderId="0" xfId="0" applyNumberFormat="1" applyAlignment="1">
      <alignment horizontal="left"/>
    </xf>
    <xf numFmtId="9" fontId="0" fillId="0" borderId="0" xfId="0" applyNumberFormat="1" applyAlignment="1">
      <alignment horizontal="left" wrapText="1"/>
    </xf>
    <xf numFmtId="0" fontId="9" fillId="0" borderId="1" xfId="0" applyFont="1" applyBorder="1" applyAlignment="1">
      <alignment horizontal="right" wrapText="1"/>
    </xf>
    <xf numFmtId="0" fontId="9" fillId="0" borderId="1" xfId="0" applyFont="1" applyBorder="1" applyAlignment="1">
      <alignment wrapText="1"/>
    </xf>
    <xf numFmtId="0" fontId="8" fillId="4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0" fillId="0" borderId="2" xfId="0" applyBorder="1"/>
    <xf numFmtId="0" fontId="0" fillId="2" borderId="0" xfId="0" applyFill="1"/>
    <xf numFmtId="0" fontId="9" fillId="2" borderId="1" xfId="0" applyFont="1" applyFill="1" applyBorder="1" applyAlignment="1">
      <alignment horizontal="right" wrapText="1"/>
    </xf>
    <xf numFmtId="0" fontId="0" fillId="9" borderId="2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2" fillId="4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8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opLeftCell="F40" workbookViewId="0">
      <selection activeCell="F65" sqref="F65"/>
    </sheetView>
  </sheetViews>
  <sheetFormatPr defaultRowHeight="14.5" x14ac:dyDescent="0.35"/>
  <cols>
    <col min="6" max="6" width="77.26953125" customWidth="1"/>
    <col min="7" max="7" width="40.90625" customWidth="1"/>
    <col min="8" max="8" width="32.36328125" customWidth="1"/>
    <col min="9" max="9" width="16.90625" customWidth="1"/>
  </cols>
  <sheetData>
    <row r="1" spans="1:11" x14ac:dyDescent="0.3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x14ac:dyDescent="0.35">
      <c r="A2" t="s">
        <v>1</v>
      </c>
      <c r="B2" s="36" t="s">
        <v>2</v>
      </c>
      <c r="C2" s="36"/>
      <c r="D2" s="36"/>
      <c r="E2" s="36"/>
      <c r="F2" s="36"/>
      <c r="G2" s="3" t="s">
        <v>3</v>
      </c>
      <c r="H2" s="3" t="s">
        <v>4</v>
      </c>
      <c r="I2" t="s">
        <v>5</v>
      </c>
      <c r="J2" t="s">
        <v>6</v>
      </c>
      <c r="K2" t="s">
        <v>7</v>
      </c>
    </row>
    <row r="3" spans="1:11" x14ac:dyDescent="0.35">
      <c r="A3" s="31">
        <v>1</v>
      </c>
      <c r="B3" s="32" t="s">
        <v>8</v>
      </c>
      <c r="C3" s="32"/>
      <c r="D3" s="32"/>
      <c r="E3" s="32"/>
      <c r="F3" s="32"/>
      <c r="G3" s="8">
        <v>2</v>
      </c>
      <c r="H3" s="8">
        <f>G3/5</f>
        <v>0.4</v>
      </c>
      <c r="I3">
        <f>1-H3</f>
        <v>0.6</v>
      </c>
      <c r="J3">
        <v>0.2</v>
      </c>
      <c r="K3">
        <f>(I3*J3)*10</f>
        <v>1.2</v>
      </c>
    </row>
    <row r="4" spans="1:11" x14ac:dyDescent="0.35">
      <c r="A4" s="31"/>
      <c r="B4" s="32" t="s">
        <v>9</v>
      </c>
      <c r="C4" s="32"/>
      <c r="D4" s="32"/>
      <c r="E4" s="32"/>
      <c r="F4" s="32"/>
      <c r="G4" s="8" t="s">
        <v>144</v>
      </c>
      <c r="H4" s="8">
        <v>0.1</v>
      </c>
      <c r="I4">
        <f>1-H4</f>
        <v>0.9</v>
      </c>
      <c r="J4">
        <v>0.5</v>
      </c>
      <c r="K4">
        <f t="shared" ref="K4:K5" si="0">(I4*J4)*10</f>
        <v>4.5</v>
      </c>
    </row>
    <row r="5" spans="1:11" x14ac:dyDescent="0.35">
      <c r="A5" s="31"/>
      <c r="B5" s="32" t="s">
        <v>10</v>
      </c>
      <c r="C5" s="32"/>
      <c r="D5" s="32"/>
      <c r="E5" s="32"/>
      <c r="F5" s="32"/>
      <c r="G5" s="8" t="s">
        <v>145</v>
      </c>
      <c r="H5" s="8">
        <f>(1000000/60000000)*100</f>
        <v>1.6666666666666667</v>
      </c>
      <c r="I5">
        <f>1-(H5/2.5)</f>
        <v>0.33333333333333326</v>
      </c>
      <c r="J5">
        <v>0.3</v>
      </c>
      <c r="K5">
        <f t="shared" si="0"/>
        <v>0.99999999999999978</v>
      </c>
    </row>
    <row r="6" spans="1:11" ht="27.75" customHeight="1" x14ac:dyDescent="0.35">
      <c r="A6" s="31"/>
      <c r="B6" s="34" t="s">
        <v>11</v>
      </c>
      <c r="C6" s="34"/>
      <c r="D6" s="34"/>
      <c r="E6" s="34"/>
      <c r="F6" s="34"/>
      <c r="G6" s="14"/>
      <c r="H6" s="14"/>
      <c r="K6" s="4">
        <f>SUM(K3:K5)</f>
        <v>6.7</v>
      </c>
    </row>
    <row r="7" spans="1:11" x14ac:dyDescent="0.35">
      <c r="A7" s="31">
        <v>2</v>
      </c>
      <c r="B7" s="32" t="s">
        <v>12</v>
      </c>
      <c r="C7" s="32"/>
      <c r="D7" s="32"/>
      <c r="E7" s="32"/>
      <c r="F7" s="32"/>
      <c r="G7" s="8">
        <v>0</v>
      </c>
      <c r="H7" s="8">
        <f>G7/20</f>
        <v>0</v>
      </c>
      <c r="I7">
        <f>H7</f>
        <v>0</v>
      </c>
      <c r="J7">
        <v>0.4</v>
      </c>
      <c r="K7">
        <f>(I7*J7)*10</f>
        <v>0</v>
      </c>
    </row>
    <row r="8" spans="1:11" x14ac:dyDescent="0.35">
      <c r="A8" s="31"/>
      <c r="B8" s="32" t="s">
        <v>13</v>
      </c>
      <c r="C8" s="32"/>
      <c r="D8" s="32"/>
      <c r="E8" s="32"/>
      <c r="F8" s="32"/>
      <c r="G8" s="16">
        <v>0.3</v>
      </c>
      <c r="H8" s="8">
        <v>0.4</v>
      </c>
      <c r="I8">
        <f>1-H8</f>
        <v>0.6</v>
      </c>
      <c r="J8">
        <v>0.35</v>
      </c>
      <c r="K8">
        <f>(I8*J8)*10</f>
        <v>2.1</v>
      </c>
    </row>
    <row r="9" spans="1:11" x14ac:dyDescent="0.35">
      <c r="A9" s="31"/>
      <c r="B9" s="32" t="s">
        <v>14</v>
      </c>
      <c r="C9" s="32"/>
      <c r="D9" s="32"/>
      <c r="E9" s="32"/>
      <c r="F9" s="32"/>
      <c r="G9" s="8">
        <v>1</v>
      </c>
      <c r="H9" s="8">
        <f>G9/12</f>
        <v>8.3333333333333329E-2</v>
      </c>
      <c r="I9">
        <f>1-H9</f>
        <v>0.91666666666666663</v>
      </c>
      <c r="J9">
        <v>0.25</v>
      </c>
      <c r="K9">
        <f>(I9*J9)*10</f>
        <v>2.2916666666666665</v>
      </c>
    </row>
    <row r="10" spans="1:11" x14ac:dyDescent="0.35">
      <c r="A10" s="31"/>
      <c r="B10" s="34" t="s">
        <v>15</v>
      </c>
      <c r="C10" s="34"/>
      <c r="D10" s="34"/>
      <c r="E10" s="34"/>
      <c r="F10" s="34"/>
      <c r="G10" s="14"/>
      <c r="H10" s="14"/>
      <c r="K10" s="4">
        <f>SUM(K7:K9)</f>
        <v>4.3916666666666666</v>
      </c>
    </row>
    <row r="11" spans="1:11" x14ac:dyDescent="0.35">
      <c r="A11" s="31">
        <v>3</v>
      </c>
      <c r="B11" s="32" t="s">
        <v>16</v>
      </c>
      <c r="C11" s="32"/>
      <c r="D11" s="32"/>
      <c r="E11" s="32"/>
      <c r="F11" s="32"/>
      <c r="G11" s="8">
        <v>3</v>
      </c>
      <c r="H11" s="8">
        <f>G11/5</f>
        <v>0.6</v>
      </c>
      <c r="I11">
        <f>1-H11</f>
        <v>0.4</v>
      </c>
      <c r="J11">
        <v>0.2</v>
      </c>
      <c r="K11">
        <f>(I11*J11)*10</f>
        <v>0.80000000000000016</v>
      </c>
    </row>
    <row r="12" spans="1:11" x14ac:dyDescent="0.35">
      <c r="A12" s="31"/>
      <c r="B12" s="32" t="s">
        <v>17</v>
      </c>
      <c r="C12" s="32"/>
      <c r="D12" s="32"/>
      <c r="E12" s="32"/>
      <c r="F12" s="32"/>
      <c r="G12" s="8" t="s">
        <v>146</v>
      </c>
      <c r="H12" s="8">
        <v>0.3</v>
      </c>
      <c r="I12">
        <f>1-H12</f>
        <v>0.7</v>
      </c>
      <c r="J12">
        <v>0.4</v>
      </c>
      <c r="K12">
        <f t="shared" ref="K12:K13" si="1">(I12*J12)*10</f>
        <v>2.8</v>
      </c>
    </row>
    <row r="13" spans="1:11" x14ac:dyDescent="0.35">
      <c r="A13" s="31"/>
      <c r="B13" s="32" t="s">
        <v>18</v>
      </c>
      <c r="C13" s="32"/>
      <c r="D13" s="32"/>
      <c r="E13" s="32"/>
      <c r="F13" s="32"/>
      <c r="G13" s="16">
        <v>0.35</v>
      </c>
      <c r="H13" s="8">
        <v>0.25</v>
      </c>
      <c r="I13">
        <f>1-H13</f>
        <v>0.75</v>
      </c>
      <c r="J13">
        <v>0.4</v>
      </c>
      <c r="K13">
        <f t="shared" si="1"/>
        <v>3.0000000000000004</v>
      </c>
    </row>
    <row r="14" spans="1:11" x14ac:dyDescent="0.35">
      <c r="A14" s="31"/>
      <c r="B14" s="34" t="s">
        <v>19</v>
      </c>
      <c r="C14" s="34"/>
      <c r="D14" s="34"/>
      <c r="E14" s="34"/>
      <c r="F14" s="34"/>
      <c r="G14" s="14"/>
      <c r="H14" s="14"/>
      <c r="K14" s="4">
        <f>SUM(K11:K13)</f>
        <v>6.6000000000000005</v>
      </c>
    </row>
    <row r="15" spans="1:11" x14ac:dyDescent="0.35">
      <c r="A15" s="31">
        <v>4</v>
      </c>
      <c r="B15" s="32" t="s">
        <v>20</v>
      </c>
      <c r="C15" s="32"/>
      <c r="D15" s="32"/>
      <c r="E15" s="32"/>
      <c r="F15" s="32"/>
      <c r="G15" s="8" t="s">
        <v>142</v>
      </c>
      <c r="H15" s="8">
        <f>(50000/4000000)*100</f>
        <v>1.25</v>
      </c>
      <c r="I15">
        <f>1-(H15/5)</f>
        <v>0.75</v>
      </c>
      <c r="J15">
        <v>0.4</v>
      </c>
      <c r="K15">
        <f>(I15*J15)*10</f>
        <v>3.0000000000000004</v>
      </c>
    </row>
    <row r="16" spans="1:11" x14ac:dyDescent="0.35">
      <c r="A16" s="31"/>
      <c r="B16" s="32" t="s">
        <v>21</v>
      </c>
      <c r="C16" s="32"/>
      <c r="D16" s="32"/>
      <c r="E16" s="32"/>
      <c r="F16" s="32"/>
      <c r="G16">
        <v>30</v>
      </c>
      <c r="H16" s="8">
        <f>(G16/40)</f>
        <v>0.75</v>
      </c>
      <c r="I16">
        <f>H16</f>
        <v>0.75</v>
      </c>
      <c r="J16">
        <v>0.3</v>
      </c>
      <c r="K16">
        <f>(I16*J16)*10</f>
        <v>2.25</v>
      </c>
    </row>
    <row r="17" spans="1:11" x14ac:dyDescent="0.35">
      <c r="A17" s="31"/>
      <c r="B17" s="32" t="s">
        <v>22</v>
      </c>
      <c r="C17" s="32"/>
      <c r="D17" s="32"/>
      <c r="E17" s="32"/>
      <c r="F17" s="32"/>
      <c r="G17" s="16">
        <v>0.12</v>
      </c>
      <c r="H17" s="8">
        <v>0.05</v>
      </c>
      <c r="I17">
        <f>1-H17</f>
        <v>0.95</v>
      </c>
      <c r="J17">
        <v>0.3</v>
      </c>
      <c r="K17">
        <f>(I17*J17)*10</f>
        <v>2.8499999999999996</v>
      </c>
    </row>
    <row r="18" spans="1:11" x14ac:dyDescent="0.35">
      <c r="A18" s="31"/>
      <c r="B18" s="34" t="s">
        <v>23</v>
      </c>
      <c r="C18" s="34"/>
      <c r="D18" s="34"/>
      <c r="E18" s="34"/>
      <c r="F18" s="34"/>
      <c r="G18" s="14"/>
      <c r="H18" s="14"/>
      <c r="K18" s="4">
        <f>SUM(K15:K17)</f>
        <v>8.1</v>
      </c>
    </row>
    <row r="19" spans="1:11" x14ac:dyDescent="0.35">
      <c r="A19" s="31">
        <v>5</v>
      </c>
      <c r="B19" s="32" t="s">
        <v>24</v>
      </c>
      <c r="C19" s="32"/>
      <c r="D19" s="32"/>
      <c r="E19" s="32"/>
      <c r="F19" s="32"/>
      <c r="G19" s="8">
        <v>2</v>
      </c>
      <c r="H19" s="8">
        <f>G19/24</f>
        <v>8.3333333333333329E-2</v>
      </c>
      <c r="I19">
        <f>1-H19</f>
        <v>0.91666666666666663</v>
      </c>
      <c r="J19">
        <v>0.3</v>
      </c>
      <c r="K19">
        <f>(I19*J19)*10</f>
        <v>2.7499999999999996</v>
      </c>
    </row>
    <row r="20" spans="1:11" x14ac:dyDescent="0.35">
      <c r="A20" s="31"/>
      <c r="B20" s="32" t="s">
        <v>25</v>
      </c>
      <c r="C20" s="32"/>
      <c r="D20" s="32"/>
      <c r="E20" s="32"/>
      <c r="F20" s="32"/>
      <c r="G20" s="16">
        <v>0.05</v>
      </c>
      <c r="H20" s="8">
        <v>0.2</v>
      </c>
      <c r="I20">
        <f>1-H20</f>
        <v>0.8</v>
      </c>
      <c r="J20">
        <v>0.4</v>
      </c>
      <c r="K20">
        <f>(I20*J20)*10</f>
        <v>3.2000000000000006</v>
      </c>
    </row>
    <row r="21" spans="1:11" x14ac:dyDescent="0.35">
      <c r="A21" s="31"/>
      <c r="B21" s="32" t="s">
        <v>26</v>
      </c>
      <c r="C21" s="32"/>
      <c r="D21" s="32"/>
      <c r="E21" s="32"/>
      <c r="F21" s="32"/>
      <c r="G21" s="8" t="s">
        <v>143</v>
      </c>
      <c r="H21" s="8">
        <v>0.75</v>
      </c>
      <c r="I21">
        <f>H21</f>
        <v>0.75</v>
      </c>
      <c r="J21">
        <v>0.3</v>
      </c>
      <c r="K21">
        <f>(I21*J21)*10</f>
        <v>2.25</v>
      </c>
    </row>
    <row r="22" spans="1:11" x14ac:dyDescent="0.35">
      <c r="A22" s="31"/>
      <c r="B22" s="34" t="s">
        <v>27</v>
      </c>
      <c r="C22" s="34"/>
      <c r="D22" s="34"/>
      <c r="E22" s="34"/>
      <c r="F22" s="34"/>
      <c r="G22" s="14"/>
      <c r="H22" s="14"/>
      <c r="K22" s="17">
        <f>SUM(K19:K21)</f>
        <v>8.1999999999999993</v>
      </c>
    </row>
    <row r="23" spans="1:11" x14ac:dyDescent="0.35">
      <c r="A23" s="31">
        <v>6</v>
      </c>
      <c r="B23" s="32" t="s">
        <v>28</v>
      </c>
      <c r="C23" s="32"/>
      <c r="D23" s="32"/>
      <c r="E23" s="32"/>
      <c r="F23" s="32"/>
      <c r="G23" s="8">
        <v>0</v>
      </c>
      <c r="H23" s="8">
        <f>G23/5</f>
        <v>0</v>
      </c>
      <c r="I23">
        <f>H23</f>
        <v>0</v>
      </c>
      <c r="J23">
        <v>0.4</v>
      </c>
      <c r="K23">
        <f>(I23*J23)*10</f>
        <v>0</v>
      </c>
    </row>
    <row r="24" spans="1:11" x14ac:dyDescent="0.35">
      <c r="A24" s="31"/>
      <c r="B24" s="32" t="s">
        <v>29</v>
      </c>
      <c r="C24" s="32"/>
      <c r="D24" s="32"/>
      <c r="E24" s="32"/>
      <c r="F24" s="32"/>
      <c r="G24" s="16">
        <v>0</v>
      </c>
      <c r="H24" s="8">
        <v>0.4</v>
      </c>
      <c r="I24">
        <f>H24</f>
        <v>0.4</v>
      </c>
      <c r="J24">
        <v>0.4</v>
      </c>
      <c r="K24">
        <f>(I24*J24)*10</f>
        <v>1.6000000000000003</v>
      </c>
    </row>
    <row r="25" spans="1:11" x14ac:dyDescent="0.35">
      <c r="A25" s="31"/>
      <c r="B25" s="32" t="s">
        <v>30</v>
      </c>
      <c r="C25" s="32"/>
      <c r="D25" s="32"/>
      <c r="E25" s="32"/>
      <c r="F25" s="32"/>
      <c r="G25" s="8">
        <v>0</v>
      </c>
      <c r="H25" s="8">
        <f>(G25/180)</f>
        <v>0</v>
      </c>
      <c r="I25">
        <v>0.5</v>
      </c>
      <c r="J25">
        <v>0.2</v>
      </c>
      <c r="K25">
        <f>(I25*J25)*10</f>
        <v>1</v>
      </c>
    </row>
    <row r="26" spans="1:11" x14ac:dyDescent="0.35">
      <c r="A26" s="31"/>
      <c r="B26" s="34" t="s">
        <v>31</v>
      </c>
      <c r="C26" s="34"/>
      <c r="D26" s="34"/>
      <c r="E26" s="34"/>
      <c r="F26" s="34"/>
      <c r="G26" s="14"/>
      <c r="H26" s="14"/>
      <c r="K26" s="17">
        <f>SUM(K23:K25)</f>
        <v>2.6000000000000005</v>
      </c>
    </row>
    <row r="27" spans="1:11" x14ac:dyDescent="0.35">
      <c r="A27" s="31">
        <v>7</v>
      </c>
      <c r="B27" s="32" t="s">
        <v>32</v>
      </c>
      <c r="C27" s="32"/>
      <c r="D27" s="32"/>
      <c r="E27" s="32"/>
      <c r="F27" s="32"/>
      <c r="G27" s="8">
        <v>7</v>
      </c>
      <c r="H27" s="8">
        <f>G27/10</f>
        <v>0.7</v>
      </c>
      <c r="I27">
        <f>1-H27</f>
        <v>0.30000000000000004</v>
      </c>
      <c r="J27">
        <v>0.35</v>
      </c>
      <c r="K27">
        <f>(I27*J27)*10</f>
        <v>1.05</v>
      </c>
    </row>
    <row r="28" spans="1:11" x14ac:dyDescent="0.35">
      <c r="A28" s="31"/>
      <c r="B28" s="32" t="s">
        <v>33</v>
      </c>
      <c r="C28" s="32"/>
      <c r="D28" s="32"/>
      <c r="E28" s="32"/>
      <c r="F28" s="32"/>
      <c r="G28" s="8">
        <v>0</v>
      </c>
      <c r="H28" s="8">
        <f>G28/50</f>
        <v>0</v>
      </c>
      <c r="I28">
        <f>1-H28</f>
        <v>1</v>
      </c>
      <c r="J28">
        <v>0.4</v>
      </c>
      <c r="K28">
        <f>(I28*J28)*10</f>
        <v>4</v>
      </c>
    </row>
    <row r="29" spans="1:11" x14ac:dyDescent="0.35">
      <c r="A29" s="31"/>
      <c r="B29" s="32" t="s">
        <v>34</v>
      </c>
      <c r="C29" s="32"/>
      <c r="D29" s="32"/>
      <c r="E29" s="32"/>
      <c r="F29" s="32"/>
      <c r="G29" s="16">
        <v>0</v>
      </c>
      <c r="H29" s="8">
        <v>0.5</v>
      </c>
      <c r="I29">
        <f>H29</f>
        <v>0.5</v>
      </c>
      <c r="J29">
        <v>0.25</v>
      </c>
      <c r="K29">
        <f t="shared" ref="K29" si="2">(I29*J29)*10</f>
        <v>1.25</v>
      </c>
    </row>
    <row r="30" spans="1:11" x14ac:dyDescent="0.35">
      <c r="A30" s="31"/>
      <c r="B30" s="34" t="s">
        <v>35</v>
      </c>
      <c r="C30" s="34"/>
      <c r="D30" s="34"/>
      <c r="E30" s="34"/>
      <c r="F30" s="34"/>
      <c r="G30" s="14"/>
      <c r="H30" s="14"/>
      <c r="K30" s="17">
        <f>SUM(K27:K29)</f>
        <v>6.3</v>
      </c>
    </row>
    <row r="31" spans="1:11" x14ac:dyDescent="0.35">
      <c r="A31" s="31">
        <v>8</v>
      </c>
      <c r="B31" s="32" t="s">
        <v>36</v>
      </c>
      <c r="C31" s="32"/>
      <c r="D31" s="32"/>
      <c r="E31" s="32"/>
      <c r="F31" s="32"/>
      <c r="G31" s="16">
        <v>1</v>
      </c>
      <c r="H31" s="8">
        <v>0.7</v>
      </c>
      <c r="I31">
        <f>1-H31</f>
        <v>0.30000000000000004</v>
      </c>
      <c r="J31">
        <v>0.3</v>
      </c>
      <c r="K31">
        <f>(I31*J31)*10</f>
        <v>0.90000000000000013</v>
      </c>
    </row>
    <row r="32" spans="1:11" x14ac:dyDescent="0.35">
      <c r="A32" s="31"/>
      <c r="B32" s="32" t="s">
        <v>37</v>
      </c>
      <c r="C32" s="32"/>
      <c r="D32" s="32"/>
      <c r="E32" s="32"/>
      <c r="F32" s="32"/>
      <c r="G32" s="8">
        <v>100</v>
      </c>
      <c r="H32" s="8">
        <f>G32/50</f>
        <v>2</v>
      </c>
      <c r="I32">
        <f>1-H32</f>
        <v>-1</v>
      </c>
      <c r="J32">
        <v>0.2</v>
      </c>
      <c r="K32">
        <f t="shared" ref="K32:K33" si="3">(I32*J32)*10</f>
        <v>-2</v>
      </c>
    </row>
    <row r="33" spans="1:11" x14ac:dyDescent="0.35">
      <c r="A33" s="31"/>
      <c r="B33" s="32" t="s">
        <v>38</v>
      </c>
      <c r="C33" s="32"/>
      <c r="D33" s="32"/>
      <c r="E33" s="32"/>
      <c r="F33" s="32"/>
      <c r="G33" s="8">
        <v>1</v>
      </c>
      <c r="H33" s="8">
        <f>G33/8</f>
        <v>0.125</v>
      </c>
      <c r="I33">
        <v>0.25</v>
      </c>
      <c r="J33">
        <v>0.5</v>
      </c>
      <c r="K33">
        <f t="shared" si="3"/>
        <v>1.25</v>
      </c>
    </row>
    <row r="34" spans="1:11" x14ac:dyDescent="0.35">
      <c r="A34" s="31"/>
      <c r="B34" s="34" t="s">
        <v>39</v>
      </c>
      <c r="C34" s="34"/>
      <c r="D34" s="34"/>
      <c r="E34" s="34"/>
      <c r="F34" s="34"/>
      <c r="G34" s="14"/>
      <c r="H34" s="14"/>
      <c r="K34" s="17">
        <f>SUM(K31:K33)</f>
        <v>0.15000000000000013</v>
      </c>
    </row>
    <row r="35" spans="1:11" x14ac:dyDescent="0.35">
      <c r="A35" s="31">
        <v>9</v>
      </c>
      <c r="B35" s="9" t="s">
        <v>40</v>
      </c>
      <c r="C35" s="8"/>
      <c r="D35" s="8"/>
      <c r="E35" s="8"/>
      <c r="F35" s="8"/>
      <c r="G35" s="8">
        <v>0</v>
      </c>
      <c r="H35" s="8">
        <f>G35/5</f>
        <v>0</v>
      </c>
      <c r="I35">
        <f>1-H35</f>
        <v>1</v>
      </c>
      <c r="J35">
        <v>0.4</v>
      </c>
      <c r="K35">
        <f>(I35*J35)*10</f>
        <v>4</v>
      </c>
    </row>
    <row r="36" spans="1:11" x14ac:dyDescent="0.35">
      <c r="A36" s="31"/>
      <c r="B36" s="9" t="s">
        <v>41</v>
      </c>
      <c r="C36" s="8"/>
      <c r="D36" s="8"/>
      <c r="E36" s="8"/>
      <c r="F36" s="8"/>
      <c r="G36" s="16">
        <v>0</v>
      </c>
      <c r="H36" s="8">
        <v>0.3</v>
      </c>
      <c r="I36">
        <f>H36</f>
        <v>0.3</v>
      </c>
      <c r="J36">
        <v>0.4</v>
      </c>
      <c r="K36">
        <f t="shared" ref="K36:K37" si="4">(I36*J36)*10</f>
        <v>1.2</v>
      </c>
    </row>
    <row r="37" spans="1:11" x14ac:dyDescent="0.35">
      <c r="A37" s="31"/>
      <c r="B37" s="9" t="s">
        <v>42</v>
      </c>
      <c r="C37" s="8"/>
      <c r="D37" s="8"/>
      <c r="E37" s="8"/>
      <c r="F37" s="8"/>
      <c r="G37" s="16">
        <v>0</v>
      </c>
      <c r="H37" s="8">
        <v>0.15</v>
      </c>
      <c r="I37">
        <f>1-H37</f>
        <v>0.85</v>
      </c>
      <c r="J37">
        <v>0.2</v>
      </c>
      <c r="K37">
        <f t="shared" si="4"/>
        <v>1.7000000000000002</v>
      </c>
    </row>
    <row r="38" spans="1:11" x14ac:dyDescent="0.35">
      <c r="A38" s="31"/>
      <c r="B38" s="34" t="s">
        <v>43</v>
      </c>
      <c r="C38" s="34"/>
      <c r="D38" s="34"/>
      <c r="E38" s="34"/>
      <c r="F38" s="34"/>
      <c r="G38" s="14"/>
      <c r="H38" s="14"/>
      <c r="K38" s="17">
        <f>SUM(K35:K37)</f>
        <v>6.9</v>
      </c>
    </row>
    <row r="39" spans="1:11" x14ac:dyDescent="0.35">
      <c r="A39" s="31">
        <v>10</v>
      </c>
      <c r="B39" s="9" t="s">
        <v>44</v>
      </c>
      <c r="C39" s="8"/>
      <c r="D39" s="8"/>
      <c r="E39" s="8"/>
      <c r="F39" s="8"/>
      <c r="G39" s="16">
        <v>0.3</v>
      </c>
      <c r="H39" s="8">
        <f>G39/20</f>
        <v>1.4999999999999999E-2</v>
      </c>
      <c r="I39">
        <f>1-H39</f>
        <v>0.98499999999999999</v>
      </c>
      <c r="J39">
        <v>0.4</v>
      </c>
      <c r="K39">
        <f>(I39*J39)*10</f>
        <v>3.9400000000000004</v>
      </c>
    </row>
    <row r="40" spans="1:11" x14ac:dyDescent="0.35">
      <c r="A40" s="31"/>
      <c r="B40" s="9" t="s">
        <v>45</v>
      </c>
      <c r="C40" s="8"/>
      <c r="D40" s="8"/>
      <c r="E40" s="8"/>
      <c r="F40" s="8"/>
      <c r="G40" s="18">
        <v>0.1</v>
      </c>
      <c r="H40" s="8">
        <v>0.5</v>
      </c>
      <c r="I40">
        <f>1-(H40/5)</f>
        <v>0.9</v>
      </c>
      <c r="J40">
        <v>0.4</v>
      </c>
      <c r="K40">
        <f t="shared" ref="K40:K41" si="5">(I40*J40)*10</f>
        <v>3.6000000000000005</v>
      </c>
    </row>
    <row r="41" spans="1:11" x14ac:dyDescent="0.35">
      <c r="A41" s="31"/>
      <c r="B41" s="9" t="s">
        <v>46</v>
      </c>
      <c r="C41" s="8"/>
      <c r="D41" s="8"/>
      <c r="E41" s="8"/>
      <c r="F41" s="8"/>
      <c r="G41" s="8">
        <v>0</v>
      </c>
      <c r="H41" s="8">
        <v>0</v>
      </c>
      <c r="I41">
        <f>1-(H41/3)</f>
        <v>1</v>
      </c>
      <c r="J41">
        <v>0.2</v>
      </c>
      <c r="K41">
        <f t="shared" si="5"/>
        <v>2</v>
      </c>
    </row>
    <row r="42" spans="1:11" x14ac:dyDescent="0.35">
      <c r="A42" s="31"/>
      <c r="B42" s="34" t="s">
        <v>47</v>
      </c>
      <c r="C42" s="34"/>
      <c r="D42" s="34"/>
      <c r="E42" s="34"/>
      <c r="F42" s="34"/>
      <c r="G42" s="14"/>
      <c r="H42" s="14"/>
      <c r="K42" s="17">
        <f>SUM(K39:K41)</f>
        <v>9.5400000000000009</v>
      </c>
    </row>
    <row r="43" spans="1:11" x14ac:dyDescent="0.35">
      <c r="A43" s="31">
        <v>11</v>
      </c>
      <c r="B43" s="9" t="s">
        <v>48</v>
      </c>
      <c r="C43" s="8"/>
      <c r="D43" s="8"/>
      <c r="E43" s="8"/>
      <c r="F43" s="8"/>
      <c r="G43" s="16">
        <v>0.5</v>
      </c>
      <c r="H43" s="8">
        <v>0.8</v>
      </c>
      <c r="I43">
        <v>0.8</v>
      </c>
      <c r="J43">
        <v>0.4</v>
      </c>
      <c r="K43">
        <f>(I43*J43)*10</f>
        <v>3.2000000000000006</v>
      </c>
    </row>
    <row r="44" spans="1:11" x14ac:dyDescent="0.35">
      <c r="A44" s="31"/>
      <c r="B44" s="9" t="s">
        <v>49</v>
      </c>
      <c r="C44" s="8"/>
      <c r="D44" s="8"/>
      <c r="E44" s="8"/>
      <c r="F44" s="8"/>
      <c r="G44" s="8">
        <v>15</v>
      </c>
      <c r="H44">
        <f>1-(G44/5)</f>
        <v>-2</v>
      </c>
      <c r="I44">
        <f>1-H44</f>
        <v>3</v>
      </c>
      <c r="J44">
        <v>0.4</v>
      </c>
      <c r="K44">
        <f t="shared" ref="K44:K45" si="6">(I44*J44)*10</f>
        <v>12.000000000000002</v>
      </c>
    </row>
    <row r="45" spans="1:11" x14ac:dyDescent="0.35">
      <c r="A45" s="31"/>
      <c r="B45" s="9" t="s">
        <v>50</v>
      </c>
      <c r="C45" s="8"/>
      <c r="D45" s="8"/>
      <c r="E45" s="8"/>
      <c r="F45" s="8"/>
      <c r="G45" s="19">
        <v>0.35</v>
      </c>
      <c r="H45" s="15">
        <v>0.35</v>
      </c>
      <c r="I45">
        <f>H45</f>
        <v>0.35</v>
      </c>
      <c r="J45">
        <v>0.2</v>
      </c>
      <c r="K45">
        <f t="shared" si="6"/>
        <v>0.7</v>
      </c>
    </row>
    <row r="46" spans="1:11" x14ac:dyDescent="0.35">
      <c r="A46" s="31"/>
      <c r="B46" s="34" t="s">
        <v>51</v>
      </c>
      <c r="C46" s="34"/>
      <c r="D46" s="34"/>
      <c r="E46" s="34"/>
      <c r="F46" s="34"/>
      <c r="G46" s="14"/>
      <c r="H46" s="14"/>
      <c r="K46">
        <f>SUM(K43:K45)</f>
        <v>15.900000000000002</v>
      </c>
    </row>
    <row r="47" spans="1:11" x14ac:dyDescent="0.35">
      <c r="A47" s="31">
        <v>12</v>
      </c>
      <c r="B47" s="32" t="s">
        <v>52</v>
      </c>
      <c r="C47" s="32"/>
      <c r="D47" s="32"/>
      <c r="E47" s="32"/>
      <c r="F47" s="32"/>
      <c r="G47" s="16">
        <v>0.2</v>
      </c>
      <c r="H47" s="8">
        <v>0.5</v>
      </c>
      <c r="I47">
        <f>H47</f>
        <v>0.5</v>
      </c>
      <c r="J47">
        <v>0.4</v>
      </c>
      <c r="K47">
        <f>(I47*J47)*10</f>
        <v>2</v>
      </c>
    </row>
    <row r="48" spans="1:11" ht="31.5" customHeight="1" x14ac:dyDescent="0.35">
      <c r="A48" s="31"/>
      <c r="B48" s="33" t="s">
        <v>53</v>
      </c>
      <c r="C48" s="33"/>
      <c r="D48" s="33"/>
      <c r="E48" s="33"/>
      <c r="F48" s="33"/>
      <c r="G48" s="16">
        <v>0.05</v>
      </c>
      <c r="H48">
        <f>1-(G48/5)</f>
        <v>0.99</v>
      </c>
      <c r="I48">
        <f>1-H48</f>
        <v>1.0000000000000009E-2</v>
      </c>
      <c r="J48">
        <v>0.3</v>
      </c>
      <c r="K48">
        <f t="shared" ref="K48:K53" si="7">(I48*J48)*10</f>
        <v>3.0000000000000027E-2</v>
      </c>
    </row>
    <row r="49" spans="1:11" ht="31.5" customHeight="1" x14ac:dyDescent="0.35">
      <c r="A49" s="31"/>
      <c r="B49" s="33" t="s">
        <v>54</v>
      </c>
      <c r="C49" s="33"/>
      <c r="D49" s="33"/>
      <c r="E49" s="33"/>
      <c r="F49" s="33"/>
      <c r="G49" s="19">
        <v>0.02</v>
      </c>
      <c r="H49" s="15">
        <v>0.4</v>
      </c>
      <c r="I49">
        <f>H49</f>
        <v>0.4</v>
      </c>
      <c r="J49">
        <v>0.3</v>
      </c>
      <c r="K49">
        <f t="shared" si="7"/>
        <v>1.2</v>
      </c>
    </row>
    <row r="50" spans="1:11" x14ac:dyDescent="0.35">
      <c r="A50" s="31"/>
      <c r="B50" s="34" t="s">
        <v>55</v>
      </c>
      <c r="C50" s="34"/>
      <c r="D50" s="34"/>
      <c r="E50" s="34"/>
      <c r="F50" s="34"/>
      <c r="G50" s="14"/>
      <c r="H50" s="14"/>
      <c r="K50" s="17">
        <f>SUM(K47:K49)</f>
        <v>3.2300000000000004</v>
      </c>
    </row>
    <row r="51" spans="1:11" ht="30.75" customHeight="1" x14ac:dyDescent="0.35">
      <c r="A51" s="31">
        <v>13</v>
      </c>
      <c r="B51" s="35" t="s">
        <v>56</v>
      </c>
      <c r="C51" s="35"/>
      <c r="D51" s="35"/>
      <c r="E51" s="35"/>
      <c r="F51" s="35"/>
      <c r="G51" s="8">
        <v>0</v>
      </c>
      <c r="H51" s="8">
        <f>G51/4</f>
        <v>0</v>
      </c>
      <c r="I51">
        <f>H51</f>
        <v>0</v>
      </c>
      <c r="J51">
        <v>0.5</v>
      </c>
      <c r="K51">
        <f t="shared" si="7"/>
        <v>0</v>
      </c>
    </row>
    <row r="52" spans="1:11" x14ac:dyDescent="0.35">
      <c r="A52" s="31"/>
      <c r="B52" s="9" t="s">
        <v>57</v>
      </c>
      <c r="C52" s="8"/>
      <c r="D52" s="8"/>
      <c r="E52" s="8"/>
      <c r="F52" s="8"/>
      <c r="G52" s="16">
        <v>1</v>
      </c>
      <c r="H52" s="8">
        <v>0.6</v>
      </c>
      <c r="I52">
        <f>1-H52</f>
        <v>0.4</v>
      </c>
      <c r="J52">
        <v>0.3</v>
      </c>
      <c r="K52">
        <f t="shared" si="7"/>
        <v>1.2</v>
      </c>
    </row>
    <row r="53" spans="1:11" ht="38.25" customHeight="1" x14ac:dyDescent="0.35">
      <c r="A53" s="31"/>
      <c r="B53" s="35" t="s">
        <v>58</v>
      </c>
      <c r="C53" s="35"/>
      <c r="D53" s="35"/>
      <c r="E53" s="35"/>
      <c r="F53" s="35"/>
      <c r="G53" s="8">
        <v>1</v>
      </c>
      <c r="H53" s="8">
        <v>0.75</v>
      </c>
      <c r="I53">
        <f>H53</f>
        <v>0.75</v>
      </c>
      <c r="J53">
        <v>0.2</v>
      </c>
      <c r="K53">
        <f t="shared" si="7"/>
        <v>1.5000000000000002</v>
      </c>
    </row>
    <row r="54" spans="1:11" x14ac:dyDescent="0.35">
      <c r="A54" s="31"/>
      <c r="B54" s="34" t="s">
        <v>59</v>
      </c>
      <c r="C54" s="34"/>
      <c r="D54" s="34"/>
      <c r="E54" s="34"/>
      <c r="F54" s="34"/>
      <c r="G54" s="14"/>
      <c r="H54" s="14"/>
      <c r="K54" s="17">
        <f>SUM(K51:K53)</f>
        <v>2.7</v>
      </c>
    </row>
    <row r="55" spans="1:11" ht="14.25" customHeight="1" x14ac:dyDescent="0.35">
      <c r="A55" s="31">
        <v>14</v>
      </c>
      <c r="B55" s="8"/>
      <c r="C55" s="8"/>
    </row>
    <row r="56" spans="1:11" x14ac:dyDescent="0.35">
      <c r="A56" s="31"/>
      <c r="B56" s="32" t="s">
        <v>60</v>
      </c>
      <c r="C56" s="32"/>
      <c r="D56" s="32"/>
      <c r="E56" s="32"/>
      <c r="F56" s="32"/>
      <c r="G56" s="16">
        <v>0</v>
      </c>
      <c r="H56" s="8">
        <v>0.3</v>
      </c>
      <c r="I56">
        <f>1-H56</f>
        <v>0.7</v>
      </c>
      <c r="J56">
        <v>0.4</v>
      </c>
      <c r="K56">
        <f t="shared" ref="K56:K61" si="8">(I56*J56)*10</f>
        <v>2.8</v>
      </c>
    </row>
    <row r="57" spans="1:11" ht="34.5" customHeight="1" x14ac:dyDescent="0.35">
      <c r="A57" s="31"/>
      <c r="B57" s="33" t="s">
        <v>61</v>
      </c>
      <c r="C57" s="33"/>
      <c r="D57" s="33"/>
      <c r="E57" s="33"/>
      <c r="F57" s="33"/>
      <c r="G57" s="8"/>
      <c r="H57" s="8">
        <f>G57/10</f>
        <v>0</v>
      </c>
      <c r="I57">
        <f>1-H57</f>
        <v>1</v>
      </c>
      <c r="J57">
        <v>0.6</v>
      </c>
      <c r="K57">
        <f t="shared" si="8"/>
        <v>6</v>
      </c>
    </row>
    <row r="58" spans="1:11" x14ac:dyDescent="0.35">
      <c r="A58" s="31"/>
      <c r="B58" s="34" t="s">
        <v>62</v>
      </c>
      <c r="C58" s="34"/>
      <c r="D58" s="34"/>
      <c r="E58" s="34"/>
      <c r="F58" s="34"/>
      <c r="G58" s="14"/>
      <c r="H58" s="14"/>
      <c r="K58" s="17">
        <f>SUM(K56:K57)</f>
        <v>8.8000000000000007</v>
      </c>
    </row>
    <row r="59" spans="1:11" x14ac:dyDescent="0.35">
      <c r="A59" s="31">
        <v>15</v>
      </c>
      <c r="B59" s="32" t="s">
        <v>63</v>
      </c>
      <c r="C59" s="32"/>
      <c r="D59" s="32"/>
      <c r="E59" s="32"/>
      <c r="F59" s="32"/>
      <c r="G59" s="16">
        <v>0.2</v>
      </c>
      <c r="H59" s="8">
        <v>0.4</v>
      </c>
      <c r="I59">
        <f>H59</f>
        <v>0.4</v>
      </c>
      <c r="J59">
        <v>0.4</v>
      </c>
      <c r="K59">
        <f t="shared" si="8"/>
        <v>1.6000000000000003</v>
      </c>
    </row>
    <row r="60" spans="1:11" ht="36" customHeight="1" x14ac:dyDescent="0.35">
      <c r="A60" s="31"/>
      <c r="B60" s="33" t="s">
        <v>64</v>
      </c>
      <c r="C60" s="33"/>
      <c r="D60" s="33"/>
      <c r="E60" s="33"/>
      <c r="F60" s="33"/>
      <c r="G60" s="8">
        <v>0</v>
      </c>
      <c r="H60" s="8">
        <f>G60/25</f>
        <v>0</v>
      </c>
      <c r="I60">
        <f>H60</f>
        <v>0</v>
      </c>
      <c r="J60">
        <v>0.35</v>
      </c>
      <c r="K60">
        <f t="shared" si="8"/>
        <v>0</v>
      </c>
    </row>
    <row r="61" spans="1:11" ht="15" customHeight="1" x14ac:dyDescent="0.35">
      <c r="A61" s="31"/>
      <c r="B61" s="32" t="s">
        <v>65</v>
      </c>
      <c r="C61" s="32"/>
      <c r="D61" s="32"/>
      <c r="E61" s="32"/>
      <c r="F61" s="32"/>
      <c r="G61" s="16">
        <v>0.3</v>
      </c>
      <c r="H61" s="8">
        <v>0.2</v>
      </c>
      <c r="I61">
        <f>1-H61</f>
        <v>0.8</v>
      </c>
      <c r="J61">
        <v>0.25</v>
      </c>
      <c r="K61">
        <f t="shared" si="8"/>
        <v>2</v>
      </c>
    </row>
    <row r="62" spans="1:11" x14ac:dyDescent="0.35">
      <c r="A62" s="31"/>
      <c r="B62" s="34" t="s">
        <v>66</v>
      </c>
      <c r="C62" s="34"/>
      <c r="D62" s="34"/>
      <c r="E62" s="34"/>
      <c r="F62" s="34"/>
      <c r="G62" s="14"/>
      <c r="H62" s="14"/>
      <c r="K62" s="17">
        <f>SUM(K59:K61)</f>
        <v>3.6000000000000005</v>
      </c>
    </row>
  </sheetData>
  <mergeCells count="66">
    <mergeCell ref="A47:A50"/>
    <mergeCell ref="B47:F47"/>
    <mergeCell ref="B48:F48"/>
    <mergeCell ref="B49:F49"/>
    <mergeCell ref="B50:F50"/>
    <mergeCell ref="A43:A46"/>
    <mergeCell ref="B46:F46"/>
    <mergeCell ref="A39:A42"/>
    <mergeCell ref="B42:F42"/>
    <mergeCell ref="A35:A38"/>
    <mergeCell ref="B38:F38"/>
    <mergeCell ref="A7:A10"/>
    <mergeCell ref="B7:F7"/>
    <mergeCell ref="B8:F8"/>
    <mergeCell ref="B9:F9"/>
    <mergeCell ref="B10:F10"/>
    <mergeCell ref="B2:F2"/>
    <mergeCell ref="A1:K1"/>
    <mergeCell ref="A3:A6"/>
    <mergeCell ref="B3:F3"/>
    <mergeCell ref="B4:F4"/>
    <mergeCell ref="B5:F5"/>
    <mergeCell ref="B6:F6"/>
    <mergeCell ref="A11:A14"/>
    <mergeCell ref="B11:F11"/>
    <mergeCell ref="B12:F12"/>
    <mergeCell ref="B13:F13"/>
    <mergeCell ref="B14:F14"/>
    <mergeCell ref="A15:A18"/>
    <mergeCell ref="B15:F15"/>
    <mergeCell ref="B16:F16"/>
    <mergeCell ref="B17:F17"/>
    <mergeCell ref="B18:F18"/>
    <mergeCell ref="A19:A22"/>
    <mergeCell ref="B19:F19"/>
    <mergeCell ref="B20:F20"/>
    <mergeCell ref="B21:F21"/>
    <mergeCell ref="B22:F22"/>
    <mergeCell ref="A23:A26"/>
    <mergeCell ref="B23:F23"/>
    <mergeCell ref="B24:F24"/>
    <mergeCell ref="B25:F25"/>
    <mergeCell ref="B26:F26"/>
    <mergeCell ref="A27:A30"/>
    <mergeCell ref="B27:F27"/>
    <mergeCell ref="B28:F28"/>
    <mergeCell ref="B29:F29"/>
    <mergeCell ref="B30:F30"/>
    <mergeCell ref="A31:A34"/>
    <mergeCell ref="B31:F31"/>
    <mergeCell ref="B32:F32"/>
    <mergeCell ref="B33:F33"/>
    <mergeCell ref="B34:F34"/>
    <mergeCell ref="A51:A54"/>
    <mergeCell ref="B54:F54"/>
    <mergeCell ref="A55:A58"/>
    <mergeCell ref="B56:F56"/>
    <mergeCell ref="B57:F57"/>
    <mergeCell ref="B58:F58"/>
    <mergeCell ref="B51:F51"/>
    <mergeCell ref="B53:F53"/>
    <mergeCell ref="A59:A62"/>
    <mergeCell ref="B59:F59"/>
    <mergeCell ref="B60:F60"/>
    <mergeCell ref="B61:F61"/>
    <mergeCell ref="B62:F6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tabSelected="1" workbookViewId="0">
      <selection activeCell="B13" sqref="B13"/>
    </sheetView>
  </sheetViews>
  <sheetFormatPr defaultRowHeight="15" customHeight="1" x14ac:dyDescent="0.35"/>
  <cols>
    <col min="1" max="1" width="39.7265625" customWidth="1"/>
    <col min="3" max="3" width="24" customWidth="1"/>
    <col min="4" max="4" width="26.36328125" customWidth="1"/>
    <col min="5" max="5" width="19" customWidth="1"/>
    <col min="6" max="6" width="19.90625" customWidth="1"/>
    <col min="7" max="7" width="20.36328125" customWidth="1"/>
    <col min="8" max="8" width="20.08984375" customWidth="1"/>
    <col min="9" max="9" width="18.36328125" customWidth="1"/>
    <col min="10" max="13" width="18.26953125" customWidth="1"/>
    <col min="14" max="14" width="17.26953125" customWidth="1"/>
    <col min="15" max="15" width="13.7265625" customWidth="1"/>
    <col min="16" max="16" width="17.6328125" customWidth="1"/>
    <col min="17" max="17" width="14.36328125" customWidth="1"/>
  </cols>
  <sheetData>
    <row r="1" spans="1:17" ht="14.5" x14ac:dyDescent="0.35">
      <c r="A1" s="37" t="s">
        <v>67</v>
      </c>
      <c r="B1" s="34" t="s">
        <v>3</v>
      </c>
      <c r="C1" s="34" t="s">
        <v>68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ht="14.5" x14ac:dyDescent="0.35">
      <c r="A2" s="37"/>
      <c r="B2" s="34"/>
      <c r="C2" s="38" t="s">
        <v>69</v>
      </c>
      <c r="D2" s="38"/>
      <c r="E2" s="39" t="s">
        <v>70</v>
      </c>
      <c r="F2" s="39"/>
      <c r="G2" s="39"/>
      <c r="H2" s="39"/>
      <c r="I2" s="40" t="s">
        <v>71</v>
      </c>
      <c r="J2" s="40"/>
      <c r="K2" s="41" t="s">
        <v>72</v>
      </c>
      <c r="L2" s="41"/>
      <c r="M2" s="41"/>
      <c r="N2" s="41"/>
      <c r="O2" s="42" t="s">
        <v>73</v>
      </c>
      <c r="P2" s="43"/>
      <c r="Q2" s="6" t="s">
        <v>74</v>
      </c>
    </row>
    <row r="3" spans="1:17" ht="69.75" customHeight="1" thickBot="1" x14ac:dyDescent="0.4">
      <c r="A3" s="37"/>
      <c r="B3" s="34"/>
      <c r="C3" s="1" t="s">
        <v>75</v>
      </c>
      <c r="D3" t="s">
        <v>76</v>
      </c>
      <c r="E3" s="1" t="s">
        <v>77</v>
      </c>
      <c r="F3" s="2" t="s">
        <v>78</v>
      </c>
      <c r="G3" s="2" t="s">
        <v>79</v>
      </c>
      <c r="H3" s="1" t="s">
        <v>80</v>
      </c>
      <c r="I3" s="1" t="s">
        <v>81</v>
      </c>
      <c r="J3" s="1" t="s">
        <v>82</v>
      </c>
      <c r="K3" s="1" t="s">
        <v>83</v>
      </c>
      <c r="L3" s="1" t="s">
        <v>84</v>
      </c>
      <c r="M3" s="1" t="s">
        <v>85</v>
      </c>
      <c r="N3" s="1" t="s">
        <v>86</v>
      </c>
      <c r="O3" s="1" t="s">
        <v>87</v>
      </c>
      <c r="P3" s="1" t="s">
        <v>88</v>
      </c>
      <c r="Q3" s="1" t="s">
        <v>89</v>
      </c>
    </row>
    <row r="4" spans="1:17" ht="15.75" customHeight="1" thickBot="1" x14ac:dyDescent="0.4">
      <c r="A4" s="1" t="s">
        <v>90</v>
      </c>
      <c r="B4" s="21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2</v>
      </c>
      <c r="M4" s="3">
        <v>0</v>
      </c>
      <c r="N4" s="3">
        <v>0</v>
      </c>
      <c r="O4" s="3">
        <v>0</v>
      </c>
      <c r="P4" s="3">
        <v>0</v>
      </c>
      <c r="Q4" s="3">
        <v>0</v>
      </c>
    </row>
    <row r="5" spans="1:17" thickBot="1" x14ac:dyDescent="0.4">
      <c r="A5" s="28" t="s">
        <v>91</v>
      </c>
      <c r="B5" s="29">
        <v>0.02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</v>
      </c>
      <c r="M5" s="3">
        <v>0</v>
      </c>
      <c r="N5" s="3">
        <v>0</v>
      </c>
      <c r="O5" s="3">
        <v>0</v>
      </c>
      <c r="P5" s="3">
        <v>0</v>
      </c>
      <c r="Q5" s="3">
        <v>0</v>
      </c>
    </row>
    <row r="6" spans="1:17" thickBot="1" x14ac:dyDescent="0.4">
      <c r="A6" t="s">
        <v>92</v>
      </c>
      <c r="B6" s="20">
        <v>0.04</v>
      </c>
      <c r="C6" s="5">
        <v>2</v>
      </c>
      <c r="D6" s="5">
        <v>2</v>
      </c>
      <c r="E6" s="5">
        <v>2</v>
      </c>
      <c r="F6" s="5">
        <v>2</v>
      </c>
      <c r="G6" s="5">
        <v>2</v>
      </c>
      <c r="H6" s="5">
        <v>2</v>
      </c>
      <c r="I6" s="5">
        <v>2</v>
      </c>
      <c r="J6" s="5">
        <v>2</v>
      </c>
      <c r="K6" s="5">
        <v>2</v>
      </c>
      <c r="L6" s="5">
        <v>3</v>
      </c>
      <c r="M6" s="5">
        <v>2</v>
      </c>
      <c r="N6" s="5">
        <v>2</v>
      </c>
      <c r="O6" s="5">
        <v>2</v>
      </c>
      <c r="P6" s="5">
        <v>2</v>
      </c>
      <c r="Q6" s="5">
        <v>2</v>
      </c>
    </row>
    <row r="7" spans="1:17" thickBot="1" x14ac:dyDescent="0.4">
      <c r="A7" t="s">
        <v>93</v>
      </c>
      <c r="B7" s="20">
        <v>4.0000000000000001E-3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2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 thickBot="1" x14ac:dyDescent="0.4">
      <c r="A8" t="s">
        <v>94</v>
      </c>
      <c r="B8" s="20">
        <v>2.4E-2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2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thickBot="1" x14ac:dyDescent="0.4">
      <c r="A9" t="s">
        <v>95</v>
      </c>
      <c r="B9" s="20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7" thickBot="1" x14ac:dyDescent="0.4">
      <c r="A10" t="s">
        <v>96</v>
      </c>
      <c r="B10" s="20">
        <v>0</v>
      </c>
      <c r="C10" s="5">
        <v>2</v>
      </c>
      <c r="D10" s="5">
        <v>1</v>
      </c>
      <c r="E10" s="5">
        <v>1</v>
      </c>
      <c r="F10" s="5">
        <v>2</v>
      </c>
      <c r="G10" s="5">
        <v>2</v>
      </c>
      <c r="H10" s="5">
        <v>1</v>
      </c>
      <c r="I10" s="5">
        <v>1</v>
      </c>
      <c r="J10" s="5">
        <v>1</v>
      </c>
      <c r="K10" s="5">
        <v>1</v>
      </c>
      <c r="L10" s="5">
        <v>3</v>
      </c>
      <c r="M10" s="5">
        <v>1</v>
      </c>
      <c r="N10" s="5">
        <v>2</v>
      </c>
      <c r="O10" s="5">
        <v>1</v>
      </c>
      <c r="P10" s="5">
        <v>1</v>
      </c>
      <c r="Q10" s="5">
        <v>1</v>
      </c>
    </row>
    <row r="11" spans="1:17" thickBot="1" x14ac:dyDescent="0.4">
      <c r="A11" t="s">
        <v>97</v>
      </c>
      <c r="B11" s="20">
        <v>2E-3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2</v>
      </c>
      <c r="L11" s="5">
        <v>3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</row>
    <row r="12" spans="1:17" thickBot="1" x14ac:dyDescent="0.4">
      <c r="A12" t="s">
        <v>98</v>
      </c>
      <c r="B12" s="20">
        <v>3.2000000000000001E-2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2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</row>
    <row r="13" spans="1:17" thickBot="1" x14ac:dyDescent="0.4">
      <c r="A13" t="s">
        <v>99</v>
      </c>
      <c r="B13" s="20">
        <v>0.6</v>
      </c>
      <c r="C13" s="5">
        <v>2</v>
      </c>
      <c r="D13" s="5">
        <v>1</v>
      </c>
      <c r="E13" s="5">
        <v>1</v>
      </c>
      <c r="F13" s="5">
        <v>1</v>
      </c>
      <c r="G13" s="5">
        <v>2</v>
      </c>
      <c r="H13" s="5">
        <v>1</v>
      </c>
      <c r="I13" s="5">
        <v>1</v>
      </c>
      <c r="J13" s="5">
        <v>1</v>
      </c>
      <c r="K13" s="5">
        <v>3</v>
      </c>
      <c r="L13" s="5">
        <v>3</v>
      </c>
      <c r="M13" s="5">
        <v>2</v>
      </c>
      <c r="N13" s="5">
        <v>3</v>
      </c>
      <c r="O13" s="5">
        <v>2</v>
      </c>
      <c r="P13" s="5">
        <v>2</v>
      </c>
      <c r="Q13" s="5">
        <v>2</v>
      </c>
    </row>
    <row r="14" spans="1:17" thickBot="1" x14ac:dyDescent="0.4">
      <c r="A14" t="s">
        <v>100</v>
      </c>
      <c r="B14" s="20">
        <v>0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3</v>
      </c>
      <c r="L14" s="5">
        <v>2</v>
      </c>
      <c r="M14" s="5">
        <v>2</v>
      </c>
      <c r="N14" s="5">
        <v>2</v>
      </c>
      <c r="O14" s="5">
        <v>2</v>
      </c>
      <c r="P14" s="5">
        <v>2</v>
      </c>
      <c r="Q14" s="5">
        <v>1</v>
      </c>
    </row>
    <row r="15" spans="1:17" thickBot="1" x14ac:dyDescent="0.4">
      <c r="A15" t="s">
        <v>101</v>
      </c>
      <c r="B15" s="20">
        <v>0.1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2</v>
      </c>
      <c r="M15" s="5">
        <v>1</v>
      </c>
      <c r="N15" s="5">
        <v>3</v>
      </c>
      <c r="O15" s="5">
        <v>3</v>
      </c>
      <c r="P15" s="5">
        <v>3</v>
      </c>
      <c r="Q15" s="5">
        <v>1</v>
      </c>
    </row>
    <row r="16" spans="1:17" thickBot="1" x14ac:dyDescent="0.4">
      <c r="A16" t="s">
        <v>102</v>
      </c>
      <c r="B16" s="20">
        <v>8.0000000000000002E-3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2</v>
      </c>
      <c r="L16" s="3">
        <v>3</v>
      </c>
      <c r="M16" s="3">
        <v>2</v>
      </c>
      <c r="N16" s="3">
        <v>2</v>
      </c>
      <c r="O16" s="3">
        <v>2</v>
      </c>
      <c r="P16" s="3">
        <v>2</v>
      </c>
      <c r="Q16" s="3">
        <v>2</v>
      </c>
    </row>
    <row r="17" spans="1:17" thickBot="1" x14ac:dyDescent="0.4">
      <c r="A17" t="s">
        <v>103</v>
      </c>
      <c r="B17" s="20">
        <v>6.0000000000000001E-3</v>
      </c>
      <c r="C17" s="3">
        <v>3</v>
      </c>
      <c r="D17" s="3">
        <v>2</v>
      </c>
      <c r="E17" s="3">
        <v>3</v>
      </c>
      <c r="F17" s="3">
        <v>3</v>
      </c>
      <c r="G17" s="3">
        <v>3</v>
      </c>
      <c r="H17" s="3">
        <v>2</v>
      </c>
      <c r="I17" s="3">
        <v>2</v>
      </c>
      <c r="J17" s="3">
        <v>2</v>
      </c>
      <c r="K17" s="3">
        <v>1</v>
      </c>
      <c r="L17" s="3">
        <v>3</v>
      </c>
      <c r="M17" s="3">
        <v>1</v>
      </c>
      <c r="N17" s="3">
        <v>1</v>
      </c>
      <c r="O17" s="3">
        <v>1</v>
      </c>
      <c r="P17" s="3">
        <v>1</v>
      </c>
      <c r="Q17" s="3">
        <v>3</v>
      </c>
    </row>
    <row r="18" spans="1:17" thickBot="1" x14ac:dyDescent="0.4">
      <c r="A18" t="s">
        <v>104</v>
      </c>
      <c r="B18" s="20">
        <v>2E-3</v>
      </c>
      <c r="C18" s="3">
        <v>3</v>
      </c>
      <c r="D18" s="3">
        <v>2</v>
      </c>
      <c r="E18" s="3">
        <v>3</v>
      </c>
      <c r="F18" s="3">
        <v>3</v>
      </c>
      <c r="G18" s="3">
        <v>3</v>
      </c>
      <c r="H18" s="3">
        <v>2</v>
      </c>
      <c r="I18" s="3">
        <v>2</v>
      </c>
      <c r="J18" s="3">
        <v>2</v>
      </c>
      <c r="K18" s="3">
        <v>1</v>
      </c>
      <c r="L18" s="3">
        <v>3</v>
      </c>
      <c r="M18" s="3">
        <v>1</v>
      </c>
      <c r="N18" s="3">
        <v>1</v>
      </c>
      <c r="O18" s="3">
        <v>1</v>
      </c>
      <c r="P18" s="3">
        <v>1</v>
      </c>
      <c r="Q18" s="3">
        <v>3</v>
      </c>
    </row>
    <row r="19" spans="1:17" thickBot="1" x14ac:dyDescent="0.4">
      <c r="A19" t="s">
        <v>105</v>
      </c>
      <c r="B19" s="20">
        <v>2.8E-3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3</v>
      </c>
      <c r="M19" s="3">
        <v>1</v>
      </c>
      <c r="N19" s="3">
        <v>3</v>
      </c>
      <c r="O19" s="3">
        <v>3</v>
      </c>
      <c r="P19" s="3">
        <v>3</v>
      </c>
      <c r="Q19" s="3">
        <v>1</v>
      </c>
    </row>
    <row r="20" spans="1:17" thickBot="1" x14ac:dyDescent="0.4">
      <c r="A20" t="s">
        <v>106</v>
      </c>
      <c r="B20" s="20">
        <v>9.5999999999999992E-3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</row>
    <row r="21" spans="1:17" thickBot="1" x14ac:dyDescent="0.4">
      <c r="A21" t="s">
        <v>107</v>
      </c>
      <c r="B21" s="20">
        <v>4.8000000000000001E-4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3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</row>
    <row r="22" spans="1:17" thickBot="1" x14ac:dyDescent="0.4">
      <c r="A22" t="s">
        <v>108</v>
      </c>
      <c r="B22" s="20">
        <v>0</v>
      </c>
      <c r="C22" s="3">
        <v>2</v>
      </c>
      <c r="D22" s="3">
        <v>1</v>
      </c>
      <c r="E22" s="3">
        <v>2</v>
      </c>
      <c r="F22" s="3">
        <v>2</v>
      </c>
      <c r="G22" s="3">
        <v>2</v>
      </c>
      <c r="H22" s="3">
        <v>1</v>
      </c>
      <c r="I22" s="3">
        <v>1</v>
      </c>
      <c r="J22" s="3">
        <v>1</v>
      </c>
      <c r="K22" s="3">
        <v>1</v>
      </c>
      <c r="L22" s="3">
        <v>2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</row>
    <row r="23" spans="1:17" thickBot="1" x14ac:dyDescent="0.4">
      <c r="A23" t="s">
        <v>109</v>
      </c>
      <c r="B23" s="20">
        <v>8.0000000000000004E-4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3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</row>
    <row r="24" spans="1:17" ht="14.5" x14ac:dyDescent="0.35">
      <c r="A24" s="4" t="s">
        <v>110</v>
      </c>
      <c r="C24">
        <f>B4*C4+B5*C5+B6*C6+B7*C7+B8*C8+B9*C9+B10*C10+B11*C11+B12*C12+B13*C13+B14*C14+B15*C15+B16*C16+B17*C17+B18*C18+B19*C19+B20*C20+B21*C21+B22*C22+B23*C23</f>
        <v>1.4276800000000001</v>
      </c>
      <c r="D24">
        <f>B4*D4+B5*D5+B6*D6+B7*D7+B8*D8+C9*B9+B10*D10+B11*D11+B12*D12+B13*D13+B14*D14+B15*D15+B16*D16+B17*D17+B18*D18+B19*D19+B20*D20+B21*D21+B22*D22+B23*D23</f>
        <v>0.81968000000000008</v>
      </c>
      <c r="E24">
        <f>B4*E4+B5*E5+B6*E6+B7*E7+B8*E8+B9*C9+B10*E10+B11*E11+B12*E12+B13*E13+B14*E14+B15*E15+B16*E16+B17*E17+B18*E18+B19*E19+B20*E20+B21*E21+B22*E22+B23*E23</f>
        <v>0.82768000000000008</v>
      </c>
      <c r="F24">
        <f>B4*F4+B5*F5+B6*F6+B7*F7+B8*F8+B9*D9+B10*F10+B11*F11+B12*F12+B13*F13+B14*F14+B15*F15+B16*F16+B17*F17+B18*F18+B19*F19+B20*F20+B21*F21+B22*F22+B23*F23</f>
        <v>0.82768000000000008</v>
      </c>
      <c r="G24">
        <f>B4*G4+B5*G5+B6*G6+B7*G7+B8*G8+B9*E9+B10*G10+B11*G11+B12*G12+B13*G13+B14*G14+B15*G15+B16*G16+B17*G17+B18*G18+B19*G19+B20*G20+B21*G21+B22*G22+B23*G23</f>
        <v>1.4276800000000001</v>
      </c>
      <c r="H24">
        <f>B4*H4+B5*H5+B6*H6+B7*H7+B8*H8+B9*F9+B10*H10+B11*H11+B12*H12+B13*H13+B14*H14+B15*H15+B16*H16+B17*H17+B18*H18+B19*H19+B20*H20+B21*H21+B22*H22+B23*H23</f>
        <v>0.81968000000000008</v>
      </c>
      <c r="I24">
        <f>B4*I4+B5*I5+B6*I6+B7*I7+B8*I8+B9*G9+B10*I10+B11*I11+B12*I12+B13*I13+B14*I14+B15*I15+B16*I16+B17*I17+B18*I18+B19*I19+B20*I20+B21*I21+B22*I22+B23*I23</f>
        <v>0.81968000000000008</v>
      </c>
      <c r="J24">
        <f>B4*J4+B5*J5+B6*J6+B7*J7+B8*J8+B9*H9+B10*J10+B11*J11+B12*J12+B13*J13+B14*J14+B15*J15+B16*J16+B17*J17+B18*J18+B19*J19+B20*J20+B21*J21+B22*J22+B23*J23</f>
        <v>0.81968000000000008</v>
      </c>
      <c r="K24">
        <f>B4*K4+B5*K5+B6*K6+B7*K7+B8*K8+B9*I9+B10*K10+B11*K11+B12*K12+B13*K13+B14*K14+B15*K15+B16*K16+B17*K17+B18*K18+B19*K19+B20*K20+B21*K21+B22*K22+B23*K23</f>
        <v>2.0216799999999995</v>
      </c>
      <c r="L24">
        <f>B4*L4+B5*L5+B6*L6+B7*L7+B8*L8+B9*L9+B10*L10+B11*L11+B12*L12+B13*L13+B14*L14+B15*L15+B16*L16+B17*L17+B18*L18+B19*L19+B20*L20+B21*L21+B22*L22+B23*L23</f>
        <v>2.3358399999999997</v>
      </c>
      <c r="M24">
        <f>B4*M4+B5*M5+B6*M6+B7*M7+B8*M8+B9*M9+B10*M10+B11*M11+B12*M12+B13*M13+B14*M14+B15*M15+B16*M16+B17*M17+B18*M18+B19*M19+B20*M20+B21*M21+B22*M22+B23*M23</f>
        <v>1.4196800000000001</v>
      </c>
      <c r="N24">
        <f>B4*N4+B5*N5+B6*N6+B7*N7+B8*N8+B9*N9+B10*N10+B11*N11+B12*N12+B13*N13+B14*N14+B15*N15+B16*N16+B17*N17+B18*N18+B19*N19+B20*N20+B21*N21+B22*N22+B23*N23</f>
        <v>2.2252799999999993</v>
      </c>
      <c r="O24">
        <f>B4*O4+B5*O5+B6*O6+B7*O7+B8*O8+B9*O9+B10*O10+B11*O11+B12*O12+B13*O13+B14*O14+B15*O15+B16*O16+B17*O17+B18*O18+B19*O19+B20*O20+B21*O21+B22*O22+B23*O23</f>
        <v>1.6252800000000001</v>
      </c>
      <c r="P24">
        <f>B4*P4+B5*P5+B6*P6+B7*P7+B8*P8+B9*P9+B10*P10+B11*P11+B12*P12+B13*P13+B14*P14+B15*P15+C16*P16+B17*P17+B18*P18+B19*P19+B20*P20+B21*P21+B22*P22+B23*P23</f>
        <v>3.6092799999999992</v>
      </c>
      <c r="Q24">
        <f>B4*Q4+B5*Q5+B6*Q6+B7*Q7+B8*Q8+B9*Q9+B10*Q10+B11*Q11+B12*Q12+B13*Q13+B14*Q14+B15*Q15+B16*Q16+B17*Q17+B18*Q18+B19*Q19+B20*Q20+B21*Q21+B22*Q22+B23*Q23</f>
        <v>1.4356800000000001</v>
      </c>
    </row>
    <row r="28" spans="1:17" ht="15" customHeight="1" x14ac:dyDescent="0.35">
      <c r="C28" s="1"/>
    </row>
  </sheetData>
  <mergeCells count="8">
    <mergeCell ref="A1:A3"/>
    <mergeCell ref="B1:B3"/>
    <mergeCell ref="C1:Q1"/>
    <mergeCell ref="C2:D2"/>
    <mergeCell ref="E2:H2"/>
    <mergeCell ref="I2:J2"/>
    <mergeCell ref="K2:N2"/>
    <mergeCell ref="O2:P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3"/>
  <sheetViews>
    <sheetView topLeftCell="A8" workbookViewId="0">
      <selection activeCell="A12" sqref="A12"/>
    </sheetView>
  </sheetViews>
  <sheetFormatPr defaultRowHeight="15" customHeight="1" x14ac:dyDescent="0.35"/>
  <cols>
    <col min="1" max="1" width="39.7265625" customWidth="1"/>
    <col min="3" max="3" width="23.36328125" customWidth="1"/>
    <col min="4" max="4" width="23.26953125" customWidth="1"/>
    <col min="5" max="5" width="19" customWidth="1"/>
    <col min="6" max="6" width="19.90625" customWidth="1"/>
    <col min="7" max="7" width="20.36328125" customWidth="1"/>
    <col min="8" max="8" width="20.08984375" customWidth="1"/>
    <col min="9" max="9" width="18.36328125" customWidth="1"/>
    <col min="10" max="13" width="18.26953125" customWidth="1"/>
    <col min="14" max="14" width="15.90625" customWidth="1"/>
    <col min="15" max="15" width="13.7265625" customWidth="1"/>
    <col min="16" max="16" width="17.6328125" customWidth="1"/>
    <col min="17" max="17" width="14.36328125" customWidth="1"/>
  </cols>
  <sheetData>
    <row r="1" spans="1:21" ht="14.5" x14ac:dyDescent="0.35">
      <c r="A1" s="44" t="s">
        <v>111</v>
      </c>
      <c r="B1" s="34" t="s">
        <v>3</v>
      </c>
      <c r="C1" s="34" t="s">
        <v>112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21" ht="14.5" x14ac:dyDescent="0.35">
      <c r="A2" s="44"/>
      <c r="B2" s="34"/>
      <c r="C2" s="38" t="s">
        <v>69</v>
      </c>
      <c r="D2" s="38"/>
      <c r="E2" s="39" t="s">
        <v>70</v>
      </c>
      <c r="F2" s="39"/>
      <c r="G2" s="39"/>
      <c r="H2" s="39"/>
      <c r="I2" s="40" t="s">
        <v>71</v>
      </c>
      <c r="J2" s="40"/>
      <c r="K2" s="41" t="s">
        <v>72</v>
      </c>
      <c r="L2" s="41"/>
      <c r="M2" s="41"/>
      <c r="N2" s="41"/>
      <c r="O2" s="42" t="s">
        <v>73</v>
      </c>
      <c r="P2" s="43"/>
      <c r="Q2" s="6" t="s">
        <v>74</v>
      </c>
    </row>
    <row r="3" spans="1:21" ht="66.75" customHeight="1" x14ac:dyDescent="0.35">
      <c r="A3" s="44"/>
      <c r="B3" s="34"/>
      <c r="C3" s="1" t="s">
        <v>75</v>
      </c>
      <c r="D3" t="s">
        <v>76</v>
      </c>
      <c r="E3" s="1" t="s">
        <v>77</v>
      </c>
      <c r="F3" s="2" t="s">
        <v>78</v>
      </c>
      <c r="G3" s="2" t="s">
        <v>79</v>
      </c>
      <c r="H3" s="1" t="s">
        <v>80</v>
      </c>
      <c r="I3" s="1" t="s">
        <v>81</v>
      </c>
      <c r="J3" s="1" t="s">
        <v>82</v>
      </c>
      <c r="K3" s="1" t="s">
        <v>83</v>
      </c>
      <c r="L3" s="1" t="s">
        <v>84</v>
      </c>
      <c r="M3" s="1" t="s">
        <v>85</v>
      </c>
      <c r="N3" s="1" t="s">
        <v>86</v>
      </c>
      <c r="O3" s="1" t="s">
        <v>87</v>
      </c>
      <c r="P3" s="1" t="s">
        <v>88</v>
      </c>
      <c r="Q3" s="1" t="s">
        <v>89</v>
      </c>
    </row>
    <row r="4" spans="1:21" ht="15.75" customHeight="1" x14ac:dyDescent="0.35">
      <c r="A4" s="30" t="s">
        <v>113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5">
        <v>2</v>
      </c>
      <c r="L4" s="5">
        <v>3</v>
      </c>
      <c r="M4" s="3">
        <v>2</v>
      </c>
      <c r="N4" s="3">
        <v>1</v>
      </c>
      <c r="O4" s="5">
        <v>1</v>
      </c>
      <c r="P4" s="3">
        <v>1</v>
      </c>
      <c r="Q4" s="5">
        <v>1</v>
      </c>
    </row>
    <row r="5" spans="1:21" ht="14.5" x14ac:dyDescent="0.35">
      <c r="A5" s="27" t="s">
        <v>114</v>
      </c>
      <c r="B5" s="3">
        <v>0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0</v>
      </c>
      <c r="I5" s="3">
        <v>0</v>
      </c>
      <c r="J5" s="3">
        <v>0</v>
      </c>
      <c r="K5" s="5">
        <v>1</v>
      </c>
      <c r="L5" s="5">
        <v>2</v>
      </c>
      <c r="M5" s="3">
        <v>1</v>
      </c>
      <c r="N5" s="3">
        <v>0</v>
      </c>
      <c r="O5" s="5">
        <v>0</v>
      </c>
      <c r="P5" s="3">
        <v>0</v>
      </c>
      <c r="Q5" s="5">
        <v>0</v>
      </c>
    </row>
    <row r="6" spans="1:21" ht="14.5" x14ac:dyDescent="0.35">
      <c r="A6" s="27" t="s">
        <v>115</v>
      </c>
      <c r="B6" s="3">
        <v>0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5">
        <v>2</v>
      </c>
      <c r="L6" s="5">
        <v>3</v>
      </c>
      <c r="M6" s="3">
        <v>2</v>
      </c>
      <c r="N6" s="3">
        <v>1</v>
      </c>
      <c r="O6" s="5">
        <v>1</v>
      </c>
      <c r="P6" s="3">
        <v>1</v>
      </c>
      <c r="Q6" s="5">
        <v>1</v>
      </c>
    </row>
    <row r="7" spans="1:21" ht="14.5" x14ac:dyDescent="0.35">
      <c r="A7" s="30" t="s">
        <v>116</v>
      </c>
      <c r="B7" s="3">
        <v>1</v>
      </c>
      <c r="C7" s="3">
        <v>2</v>
      </c>
      <c r="D7" s="3">
        <v>2</v>
      </c>
      <c r="E7" s="3">
        <v>2</v>
      </c>
      <c r="F7" s="3">
        <v>2</v>
      </c>
      <c r="G7" s="3">
        <v>2</v>
      </c>
      <c r="H7" s="3">
        <v>2</v>
      </c>
      <c r="I7" s="3">
        <v>2</v>
      </c>
      <c r="J7" s="3">
        <v>2</v>
      </c>
      <c r="K7" s="5">
        <v>1</v>
      </c>
      <c r="L7" s="5">
        <v>3</v>
      </c>
      <c r="M7" s="3">
        <v>1</v>
      </c>
      <c r="N7" s="3">
        <v>1</v>
      </c>
      <c r="O7" s="5">
        <v>2</v>
      </c>
      <c r="P7" s="3">
        <v>2</v>
      </c>
      <c r="Q7" s="5">
        <v>2</v>
      </c>
      <c r="U7" s="3"/>
    </row>
    <row r="8" spans="1:21" ht="14.5" x14ac:dyDescent="0.35">
      <c r="A8" s="27" t="s">
        <v>117</v>
      </c>
      <c r="B8" s="3">
        <v>0</v>
      </c>
      <c r="C8" s="3">
        <v>2</v>
      </c>
      <c r="D8" s="3">
        <v>2</v>
      </c>
      <c r="E8" s="3">
        <v>2</v>
      </c>
      <c r="F8" s="3">
        <v>2</v>
      </c>
      <c r="G8" s="3">
        <v>2</v>
      </c>
      <c r="H8" s="3">
        <v>2</v>
      </c>
      <c r="I8" s="3">
        <v>2</v>
      </c>
      <c r="J8" s="3">
        <v>2</v>
      </c>
      <c r="K8" s="5">
        <v>1</v>
      </c>
      <c r="L8" s="5">
        <v>3</v>
      </c>
      <c r="M8" s="3">
        <v>1</v>
      </c>
      <c r="N8" s="3">
        <v>1</v>
      </c>
      <c r="O8" s="5">
        <v>2</v>
      </c>
      <c r="P8" s="3">
        <v>2</v>
      </c>
      <c r="Q8" s="5">
        <v>2</v>
      </c>
    </row>
    <row r="9" spans="1:21" ht="14.5" x14ac:dyDescent="0.35">
      <c r="A9" s="27" t="s">
        <v>118</v>
      </c>
      <c r="B9" s="3">
        <v>0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2</v>
      </c>
      <c r="I9" s="3">
        <v>2</v>
      </c>
      <c r="J9" s="3">
        <v>1</v>
      </c>
      <c r="K9" s="5">
        <v>0</v>
      </c>
      <c r="L9" s="5">
        <v>2</v>
      </c>
      <c r="M9" s="3">
        <v>1</v>
      </c>
      <c r="N9" s="3">
        <v>0</v>
      </c>
      <c r="O9" s="5">
        <v>2</v>
      </c>
      <c r="P9" s="3">
        <v>2</v>
      </c>
      <c r="Q9" s="5">
        <v>2</v>
      </c>
    </row>
    <row r="10" spans="1:21" ht="14.5" x14ac:dyDescent="0.35">
      <c r="A10" s="30" t="s">
        <v>119</v>
      </c>
      <c r="B10" s="3">
        <v>1</v>
      </c>
      <c r="C10" s="3">
        <v>2</v>
      </c>
      <c r="D10" s="3">
        <v>2</v>
      </c>
      <c r="E10" s="3">
        <v>2</v>
      </c>
      <c r="F10" s="3">
        <v>2</v>
      </c>
      <c r="G10" s="3">
        <v>2</v>
      </c>
      <c r="H10" s="3">
        <v>1</v>
      </c>
      <c r="I10" s="3">
        <v>1</v>
      </c>
      <c r="J10" s="3">
        <v>2</v>
      </c>
      <c r="K10" s="5">
        <v>1</v>
      </c>
      <c r="L10" s="5">
        <v>3</v>
      </c>
      <c r="M10" s="3">
        <v>2</v>
      </c>
      <c r="N10" s="3">
        <v>1</v>
      </c>
      <c r="O10" s="5">
        <v>1</v>
      </c>
      <c r="P10" s="3">
        <v>1</v>
      </c>
      <c r="Q10" s="5">
        <v>1</v>
      </c>
    </row>
    <row r="11" spans="1:21" ht="14.5" x14ac:dyDescent="0.35">
      <c r="A11" s="27" t="s">
        <v>120</v>
      </c>
      <c r="B11" s="3">
        <v>0</v>
      </c>
      <c r="C11" s="3">
        <v>1</v>
      </c>
      <c r="D11" s="3">
        <v>1</v>
      </c>
      <c r="E11" s="3">
        <v>2</v>
      </c>
      <c r="F11" s="3">
        <v>2</v>
      </c>
      <c r="G11" s="3">
        <v>2</v>
      </c>
      <c r="H11" s="3">
        <v>1</v>
      </c>
      <c r="I11" s="3">
        <v>1</v>
      </c>
      <c r="J11" s="3">
        <v>2</v>
      </c>
      <c r="K11" s="5">
        <v>2</v>
      </c>
      <c r="L11" s="5">
        <v>3</v>
      </c>
      <c r="M11" s="3">
        <v>2</v>
      </c>
      <c r="N11" s="3">
        <v>2</v>
      </c>
      <c r="O11" s="5">
        <v>1</v>
      </c>
      <c r="P11" s="3">
        <v>1</v>
      </c>
      <c r="Q11" s="5">
        <v>1</v>
      </c>
    </row>
    <row r="12" spans="1:21" ht="14.5" x14ac:dyDescent="0.35">
      <c r="A12" s="30" t="s">
        <v>121</v>
      </c>
      <c r="B12" s="3">
        <v>1</v>
      </c>
      <c r="C12" s="3">
        <v>2</v>
      </c>
      <c r="D12" s="3">
        <v>2</v>
      </c>
      <c r="E12" s="3">
        <v>2</v>
      </c>
      <c r="F12" s="3">
        <v>2</v>
      </c>
      <c r="G12" s="3">
        <v>2</v>
      </c>
      <c r="H12" s="3">
        <v>2</v>
      </c>
      <c r="I12" s="3">
        <v>2</v>
      </c>
      <c r="J12" s="3">
        <v>2</v>
      </c>
      <c r="K12" s="5">
        <v>2</v>
      </c>
      <c r="L12" s="5">
        <v>3</v>
      </c>
      <c r="M12" s="3">
        <v>2</v>
      </c>
      <c r="N12" s="3">
        <v>1</v>
      </c>
      <c r="O12" s="5">
        <v>2</v>
      </c>
      <c r="P12" s="3">
        <v>2</v>
      </c>
      <c r="Q12" s="5">
        <v>2</v>
      </c>
    </row>
    <row r="13" spans="1:21" ht="14.5" x14ac:dyDescent="0.35">
      <c r="A13" s="27" t="s">
        <v>122</v>
      </c>
      <c r="B13" s="3">
        <v>0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2</v>
      </c>
      <c r="I13" s="3">
        <v>2</v>
      </c>
      <c r="J13" s="3">
        <v>1</v>
      </c>
      <c r="K13" s="5">
        <v>1</v>
      </c>
      <c r="L13" s="5">
        <v>3</v>
      </c>
      <c r="M13" s="3">
        <v>1</v>
      </c>
      <c r="N13" s="3">
        <v>1</v>
      </c>
      <c r="O13" s="5">
        <v>2</v>
      </c>
      <c r="P13" s="3">
        <v>2</v>
      </c>
      <c r="Q13" s="5">
        <v>2</v>
      </c>
    </row>
    <row r="14" spans="1:21" ht="14.5" x14ac:dyDescent="0.35">
      <c r="A14" s="27" t="s">
        <v>123</v>
      </c>
      <c r="B14" s="3">
        <v>0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5">
        <v>2</v>
      </c>
      <c r="L14" s="5">
        <v>3</v>
      </c>
      <c r="M14" s="3">
        <v>3</v>
      </c>
      <c r="N14" s="3">
        <v>2</v>
      </c>
      <c r="O14" s="5">
        <v>1</v>
      </c>
      <c r="P14" s="3">
        <v>1</v>
      </c>
      <c r="Q14" s="5">
        <v>1</v>
      </c>
    </row>
    <row r="15" spans="1:21" ht="14.5" x14ac:dyDescent="0.35">
      <c r="A15" s="30" t="s">
        <v>124</v>
      </c>
      <c r="B15" s="3">
        <v>1</v>
      </c>
      <c r="C15" s="3">
        <v>2</v>
      </c>
      <c r="D15" s="3">
        <v>2</v>
      </c>
      <c r="E15" s="3">
        <v>1</v>
      </c>
      <c r="F15" s="3">
        <v>1</v>
      </c>
      <c r="G15" s="3">
        <v>1</v>
      </c>
      <c r="H15" s="3">
        <v>2</v>
      </c>
      <c r="I15" s="3">
        <v>2</v>
      </c>
      <c r="J15" s="3">
        <v>1</v>
      </c>
      <c r="K15" s="5">
        <v>2</v>
      </c>
      <c r="L15" s="5">
        <v>3</v>
      </c>
      <c r="M15" s="3">
        <v>1</v>
      </c>
      <c r="N15" s="3">
        <v>1</v>
      </c>
      <c r="O15" s="5">
        <v>2</v>
      </c>
      <c r="P15" s="3">
        <v>2</v>
      </c>
      <c r="Q15" s="5">
        <v>1</v>
      </c>
    </row>
    <row r="16" spans="1:21" ht="14.5" x14ac:dyDescent="0.35">
      <c r="A16" s="30" t="s">
        <v>125</v>
      </c>
      <c r="B16" s="3">
        <v>1</v>
      </c>
      <c r="C16" s="3">
        <v>3</v>
      </c>
      <c r="D16" s="3">
        <v>3</v>
      </c>
      <c r="E16" s="3">
        <v>3</v>
      </c>
      <c r="F16" s="3">
        <v>3</v>
      </c>
      <c r="G16" s="3">
        <v>3</v>
      </c>
      <c r="H16" s="3">
        <v>1</v>
      </c>
      <c r="I16" s="3">
        <v>1</v>
      </c>
      <c r="J16" s="3">
        <v>2</v>
      </c>
      <c r="K16" s="5">
        <v>2</v>
      </c>
      <c r="L16" s="5">
        <v>3</v>
      </c>
      <c r="M16" s="3">
        <v>2</v>
      </c>
      <c r="N16" s="3">
        <v>1</v>
      </c>
      <c r="O16" s="5">
        <v>1</v>
      </c>
      <c r="P16" s="3">
        <v>1</v>
      </c>
      <c r="Q16" s="5">
        <v>1</v>
      </c>
    </row>
    <row r="17" spans="1:17" ht="14.5" x14ac:dyDescent="0.35">
      <c r="A17" s="27" t="s">
        <v>126</v>
      </c>
      <c r="B17" s="3">
        <v>0</v>
      </c>
      <c r="C17" s="3">
        <v>2</v>
      </c>
      <c r="D17" s="3">
        <v>2</v>
      </c>
      <c r="E17" s="3">
        <v>2</v>
      </c>
      <c r="F17" s="3">
        <v>2</v>
      </c>
      <c r="G17" s="3">
        <v>2</v>
      </c>
      <c r="H17" s="3">
        <v>3</v>
      </c>
      <c r="I17" s="3">
        <v>2</v>
      </c>
      <c r="J17" s="3">
        <v>2</v>
      </c>
      <c r="K17" s="5">
        <v>3</v>
      </c>
      <c r="L17" s="5">
        <v>3</v>
      </c>
      <c r="M17" s="3">
        <v>2</v>
      </c>
      <c r="N17" s="3">
        <v>3</v>
      </c>
      <c r="O17" s="5">
        <v>3</v>
      </c>
      <c r="P17" s="3">
        <v>3</v>
      </c>
      <c r="Q17" s="5">
        <v>2</v>
      </c>
    </row>
    <row r="18" spans="1:17" ht="14.5" x14ac:dyDescent="0.35">
      <c r="A18" s="27" t="s">
        <v>127</v>
      </c>
      <c r="B18" s="3">
        <v>0</v>
      </c>
      <c r="C18" s="3">
        <v>2</v>
      </c>
      <c r="D18" s="3">
        <v>2</v>
      </c>
      <c r="E18" s="3">
        <v>2</v>
      </c>
      <c r="F18" s="3">
        <v>2</v>
      </c>
      <c r="G18" s="3">
        <v>2</v>
      </c>
      <c r="H18" s="3">
        <v>3</v>
      </c>
      <c r="I18" s="3">
        <v>2</v>
      </c>
      <c r="J18" s="3">
        <v>2</v>
      </c>
      <c r="K18" s="5">
        <v>3</v>
      </c>
      <c r="L18" s="5">
        <v>3</v>
      </c>
      <c r="M18" s="3">
        <v>2</v>
      </c>
      <c r="N18" s="3">
        <v>3</v>
      </c>
      <c r="O18" s="5">
        <v>3</v>
      </c>
      <c r="P18" s="3">
        <v>3</v>
      </c>
      <c r="Q18" s="5">
        <v>2</v>
      </c>
    </row>
    <row r="19" spans="1:17" ht="14.5" x14ac:dyDescent="0.35">
      <c r="A19" s="27" t="s">
        <v>128</v>
      </c>
      <c r="B19" s="3">
        <v>0</v>
      </c>
      <c r="C19" s="3">
        <v>3</v>
      </c>
      <c r="D19" s="3">
        <v>3</v>
      </c>
      <c r="E19" s="3">
        <v>3</v>
      </c>
      <c r="F19" s="3">
        <v>3</v>
      </c>
      <c r="G19" s="3">
        <v>2</v>
      </c>
      <c r="H19" s="3">
        <v>1</v>
      </c>
      <c r="I19" s="3">
        <v>1</v>
      </c>
      <c r="J19" s="3">
        <v>1</v>
      </c>
      <c r="K19" s="5">
        <v>1</v>
      </c>
      <c r="L19" s="5">
        <v>2</v>
      </c>
      <c r="M19" s="3">
        <v>1</v>
      </c>
      <c r="N19" s="3">
        <v>1</v>
      </c>
      <c r="O19" s="5">
        <v>1</v>
      </c>
      <c r="P19" s="3">
        <v>1</v>
      </c>
      <c r="Q19" s="5">
        <v>1</v>
      </c>
    </row>
    <row r="20" spans="1:17" ht="14.5" x14ac:dyDescent="0.35">
      <c r="A20" s="27" t="s">
        <v>129</v>
      </c>
      <c r="B20" s="3">
        <v>0</v>
      </c>
      <c r="C20" s="3">
        <v>2</v>
      </c>
      <c r="D20" s="3">
        <v>2</v>
      </c>
      <c r="E20" s="3">
        <v>2</v>
      </c>
      <c r="F20" s="3">
        <v>2</v>
      </c>
      <c r="G20" s="3">
        <v>2</v>
      </c>
      <c r="H20" s="3">
        <v>2</v>
      </c>
      <c r="I20" s="3">
        <v>2</v>
      </c>
      <c r="J20" s="3">
        <v>1</v>
      </c>
      <c r="K20" s="5">
        <v>1</v>
      </c>
      <c r="L20" s="5">
        <v>3</v>
      </c>
      <c r="M20" s="3">
        <v>2</v>
      </c>
      <c r="N20" s="3">
        <v>1</v>
      </c>
      <c r="O20" s="5">
        <v>2</v>
      </c>
      <c r="P20" s="3">
        <v>2</v>
      </c>
      <c r="Q20" s="5">
        <v>3</v>
      </c>
    </row>
    <row r="21" spans="1:17" ht="14.5" x14ac:dyDescent="0.35">
      <c r="A21" s="4" t="s">
        <v>130</v>
      </c>
    </row>
    <row r="22" spans="1:17" ht="15" customHeight="1" x14ac:dyDescent="0.35">
      <c r="C22">
        <f>C5*B5+C7*B7+C10*B10+C12*B12+C14*B14+C16*B16</f>
        <v>9</v>
      </c>
      <c r="D22">
        <f>D5*B5+D7*B7+D10*B10+D12*B12+D14*B14+D16*B16</f>
        <v>9</v>
      </c>
      <c r="E22">
        <f>E5*B5+E7*B7+E10*B10+E12*B12+E14*B14+E16*B16</f>
        <v>9</v>
      </c>
      <c r="F22">
        <f>F5*B5+F7*B7+F10*B10+F12*B12+F14*B14+F16*B16</f>
        <v>9</v>
      </c>
      <c r="G22">
        <f>G5*B5+G7*B7+G10*B10+G12*B12+G14*B14+G16*B16</f>
        <v>9</v>
      </c>
      <c r="H22">
        <f>H5*B5+H7*B7+H10*B10+H12*B12+H14*B14+H16*B16</f>
        <v>6</v>
      </c>
      <c r="I22">
        <f>I5*B5+I7*B7+I10*B10+I12*B12+I14*B14+I16*B16</f>
        <v>6</v>
      </c>
      <c r="J22">
        <f>J5*B5+J7*B7+J10*B10+J12*B12+J14*B14+J16*B16</f>
        <v>8</v>
      </c>
      <c r="K22">
        <f>K5*B5+K7*B7+K10*B10+K12*B12+K14*B14+K16*B16</f>
        <v>6</v>
      </c>
      <c r="L22">
        <f>L5*B5+L7*B7+L10*B10+L12*B12+L14*B14+L16*B16</f>
        <v>12</v>
      </c>
      <c r="M22">
        <f>M5*B5+M7*B7+M10*B10+M12*B12+M14*B14+M16*B16</f>
        <v>7</v>
      </c>
      <c r="N22">
        <f>N5*B5+N7*B7+N10*B10+N12*B12+N14*B14+N16*B16</f>
        <v>4</v>
      </c>
      <c r="O22">
        <f>O5*B5+O7*B7+O10*B10+O12*B12+O14*B14+O16*B16</f>
        <v>6</v>
      </c>
      <c r="P22">
        <f>P5*B5+P7*B7+P10*B10+P12*B12+P14*B14+P16*B16</f>
        <v>6</v>
      </c>
      <c r="Q22">
        <f>Q5*B5+Q7*B7+Q10*B10+Q12*B12+Q14*B14+Q16*B16</f>
        <v>6</v>
      </c>
    </row>
    <row r="27" spans="1:17" ht="14.5" x14ac:dyDescent="0.35"/>
    <row r="28" spans="1:17" ht="14.5" x14ac:dyDescent="0.35"/>
    <row r="29" spans="1:17" ht="14.5" x14ac:dyDescent="0.35"/>
    <row r="30" spans="1:17" ht="14.5" x14ac:dyDescent="0.35"/>
    <row r="31" spans="1:17" ht="14.5" x14ac:dyDescent="0.35"/>
    <row r="32" spans="1:17" ht="14.5" x14ac:dyDescent="0.35"/>
    <row r="33" ht="14.5" x14ac:dyDescent="0.35"/>
    <row r="34" ht="14.5" x14ac:dyDescent="0.35"/>
    <row r="35" ht="14.5" x14ac:dyDescent="0.35"/>
    <row r="36" ht="14.5" x14ac:dyDescent="0.35"/>
    <row r="37" ht="14.5" x14ac:dyDescent="0.35"/>
    <row r="38" ht="14.5" x14ac:dyDescent="0.35"/>
    <row r="39" ht="14.5" x14ac:dyDescent="0.35"/>
    <row r="40" ht="14.5" x14ac:dyDescent="0.35"/>
    <row r="41" ht="14.5" x14ac:dyDescent="0.35"/>
    <row r="42" ht="14.5" x14ac:dyDescent="0.35"/>
    <row r="43" ht="14.5" x14ac:dyDescent="0.35"/>
  </sheetData>
  <mergeCells count="8">
    <mergeCell ref="A1:A3"/>
    <mergeCell ref="B1:B3"/>
    <mergeCell ref="C1:Q1"/>
    <mergeCell ref="C2:D2"/>
    <mergeCell ref="E2:H2"/>
    <mergeCell ref="I2:J2"/>
    <mergeCell ref="K2:N2"/>
    <mergeCell ref="O2:P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3"/>
  <sheetViews>
    <sheetView workbookViewId="0">
      <selection activeCell="D6" sqref="D6"/>
    </sheetView>
  </sheetViews>
  <sheetFormatPr defaultRowHeight="15" customHeight="1" x14ac:dyDescent="0.35"/>
  <cols>
    <col min="1" max="1" width="29" customWidth="1"/>
    <col min="2" max="2" width="25" customWidth="1"/>
    <col min="3" max="3" width="18.90625" customWidth="1"/>
    <col min="4" max="4" width="17.26953125" customWidth="1"/>
    <col min="5" max="5" width="16.36328125" customWidth="1"/>
    <col min="6" max="6" width="18" customWidth="1"/>
    <col min="7" max="7" width="12.36328125" customWidth="1"/>
    <col min="8" max="8" width="17.90625" customWidth="1"/>
    <col min="9" max="13" width="14.36328125" customWidth="1"/>
    <col min="14" max="14" width="19.26953125" customWidth="1"/>
    <col min="15" max="15" width="13.6328125" customWidth="1"/>
    <col min="16" max="16" width="12.7265625" customWidth="1"/>
  </cols>
  <sheetData>
    <row r="1" spans="1:23" ht="14.5" x14ac:dyDescent="0.35">
      <c r="A1" s="46" t="s">
        <v>131</v>
      </c>
      <c r="B1" s="47" t="s">
        <v>132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7"/>
      <c r="R1" s="7"/>
      <c r="S1" s="7"/>
      <c r="T1" s="7"/>
      <c r="U1" s="7"/>
      <c r="V1" s="7"/>
      <c r="W1" s="7"/>
    </row>
    <row r="2" spans="1:23" ht="14.5" x14ac:dyDescent="0.35">
      <c r="A2" s="46"/>
      <c r="B2" s="38" t="s">
        <v>69</v>
      </c>
      <c r="C2" s="38"/>
      <c r="D2" s="39" t="s">
        <v>70</v>
      </c>
      <c r="E2" s="39"/>
      <c r="F2" s="39"/>
      <c r="G2" s="39"/>
      <c r="H2" s="40" t="s">
        <v>71</v>
      </c>
      <c r="I2" s="40"/>
      <c r="J2" s="41" t="s">
        <v>72</v>
      </c>
      <c r="K2" s="41"/>
      <c r="L2" s="41"/>
      <c r="M2" s="41"/>
      <c r="N2" s="48" t="s">
        <v>73</v>
      </c>
      <c r="O2" s="48"/>
      <c r="P2" s="6" t="s">
        <v>74</v>
      </c>
    </row>
    <row r="3" spans="1:23" ht="51.75" customHeight="1" x14ac:dyDescent="0.35">
      <c r="A3" s="46"/>
      <c r="B3" s="23" t="s">
        <v>75</v>
      </c>
      <c r="C3" s="24" t="s">
        <v>76</v>
      </c>
      <c r="D3" s="23" t="s">
        <v>77</v>
      </c>
      <c r="E3" s="25" t="s">
        <v>78</v>
      </c>
      <c r="F3" s="25" t="s">
        <v>79</v>
      </c>
      <c r="G3" s="23" t="s">
        <v>80</v>
      </c>
      <c r="H3" s="23" t="s">
        <v>81</v>
      </c>
      <c r="I3" s="23" t="s">
        <v>82</v>
      </c>
      <c r="J3" s="26" t="s">
        <v>83</v>
      </c>
      <c r="K3" s="26" t="s">
        <v>84</v>
      </c>
      <c r="L3" s="26" t="s">
        <v>85</v>
      </c>
      <c r="M3" s="26" t="s">
        <v>86</v>
      </c>
      <c r="N3" s="23" t="s">
        <v>87</v>
      </c>
      <c r="O3" s="12" t="s">
        <v>88</v>
      </c>
      <c r="P3" s="23" t="s">
        <v>89</v>
      </c>
      <c r="Q3" s="12" t="s">
        <v>133</v>
      </c>
    </row>
    <row r="4" spans="1:23" ht="14.5" x14ac:dyDescent="0.35">
      <c r="A4" s="11" t="s">
        <v>110</v>
      </c>
      <c r="B4" s="4"/>
      <c r="Q4">
        <f>SUM(B4:P4)</f>
        <v>0</v>
      </c>
    </row>
    <row r="5" spans="1:23" ht="14.5" x14ac:dyDescent="0.35">
      <c r="A5" s="11" t="s">
        <v>130</v>
      </c>
      <c r="Q5">
        <f t="shared" ref="Q5:Q6" si="0">SUM(B5:P5)</f>
        <v>0</v>
      </c>
    </row>
    <row r="6" spans="1:23" ht="14.5" x14ac:dyDescent="0.35">
      <c r="A6" s="11" t="s">
        <v>134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>
        <f t="shared" si="0"/>
        <v>0</v>
      </c>
    </row>
    <row r="7" spans="1:23" ht="15" customHeight="1" x14ac:dyDescent="0.35">
      <c r="A7" s="45" t="s">
        <v>5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</row>
    <row r="8" spans="1:23" ht="15" customHeight="1" x14ac:dyDescent="0.35">
      <c r="A8" s="11" t="s">
        <v>135</v>
      </c>
      <c r="B8" s="11">
        <f>B4/13.95</f>
        <v>0</v>
      </c>
      <c r="C8" s="11">
        <f t="shared" ref="C8:P8" si="1">C4/13.95</f>
        <v>0</v>
      </c>
      <c r="D8" s="11">
        <f t="shared" si="1"/>
        <v>0</v>
      </c>
      <c r="E8" s="11">
        <f t="shared" si="1"/>
        <v>0</v>
      </c>
      <c r="F8" s="11">
        <f t="shared" si="1"/>
        <v>0</v>
      </c>
      <c r="G8" s="11">
        <f t="shared" si="1"/>
        <v>0</v>
      </c>
      <c r="H8" s="11">
        <f t="shared" si="1"/>
        <v>0</v>
      </c>
      <c r="I8" s="11">
        <f t="shared" si="1"/>
        <v>0</v>
      </c>
      <c r="J8" s="11">
        <f t="shared" si="1"/>
        <v>0</v>
      </c>
      <c r="K8" s="11">
        <f t="shared" si="1"/>
        <v>0</v>
      </c>
      <c r="L8" s="11">
        <f t="shared" si="1"/>
        <v>0</v>
      </c>
      <c r="M8" s="11">
        <f t="shared" si="1"/>
        <v>0</v>
      </c>
      <c r="N8" s="11">
        <f t="shared" si="1"/>
        <v>0</v>
      </c>
      <c r="O8" s="11">
        <f t="shared" si="1"/>
        <v>0</v>
      </c>
      <c r="P8" s="11">
        <f t="shared" si="1"/>
        <v>0</v>
      </c>
    </row>
    <row r="9" spans="1:23" ht="15" customHeight="1" x14ac:dyDescent="0.35">
      <c r="A9" s="11" t="s">
        <v>136</v>
      </c>
      <c r="B9" s="11">
        <f>B5/142</f>
        <v>0</v>
      </c>
      <c r="C9" s="11">
        <f t="shared" ref="C9:P9" si="2">C5/142</f>
        <v>0</v>
      </c>
      <c r="D9" s="11">
        <f t="shared" si="2"/>
        <v>0</v>
      </c>
      <c r="E9" s="11">
        <f t="shared" si="2"/>
        <v>0</v>
      </c>
      <c r="F9" s="11">
        <f t="shared" si="2"/>
        <v>0</v>
      </c>
      <c r="G9" s="11">
        <f t="shared" si="2"/>
        <v>0</v>
      </c>
      <c r="H9" s="11">
        <f t="shared" si="2"/>
        <v>0</v>
      </c>
      <c r="I9" s="11">
        <f t="shared" si="2"/>
        <v>0</v>
      </c>
      <c r="J9" s="11">
        <f t="shared" si="2"/>
        <v>0</v>
      </c>
      <c r="K9" s="11">
        <f t="shared" si="2"/>
        <v>0</v>
      </c>
      <c r="L9" s="11">
        <f t="shared" si="2"/>
        <v>0</v>
      </c>
      <c r="M9" s="11">
        <f t="shared" si="2"/>
        <v>0</v>
      </c>
      <c r="N9" s="11">
        <f t="shared" si="2"/>
        <v>0</v>
      </c>
      <c r="O9" s="11">
        <f t="shared" si="2"/>
        <v>0</v>
      </c>
      <c r="P9" s="11">
        <f t="shared" si="2"/>
        <v>0</v>
      </c>
    </row>
    <row r="10" spans="1:23" ht="15" customHeight="1" x14ac:dyDescent="0.35">
      <c r="A10" s="13" t="s">
        <v>137</v>
      </c>
      <c r="B10" s="11">
        <f>B6/97.75</f>
        <v>0</v>
      </c>
      <c r="C10" s="11">
        <f t="shared" ref="C10:P10" si="3">C6/97.75</f>
        <v>0</v>
      </c>
      <c r="D10" s="11">
        <f t="shared" si="3"/>
        <v>0</v>
      </c>
      <c r="E10" s="11">
        <f t="shared" si="3"/>
        <v>0</v>
      </c>
      <c r="F10" s="11">
        <f t="shared" si="3"/>
        <v>0</v>
      </c>
      <c r="G10" s="11">
        <f t="shared" si="3"/>
        <v>0</v>
      </c>
      <c r="H10" s="11">
        <f t="shared" si="3"/>
        <v>0</v>
      </c>
      <c r="I10" s="11">
        <f t="shared" si="3"/>
        <v>0</v>
      </c>
      <c r="J10" s="11">
        <f t="shared" si="3"/>
        <v>0</v>
      </c>
      <c r="K10" s="11">
        <f t="shared" si="3"/>
        <v>0</v>
      </c>
      <c r="L10" s="11">
        <f t="shared" si="3"/>
        <v>0</v>
      </c>
      <c r="M10" s="11">
        <f t="shared" si="3"/>
        <v>0</v>
      </c>
      <c r="N10" s="11">
        <f t="shared" si="3"/>
        <v>0</v>
      </c>
      <c r="O10" s="11">
        <f t="shared" si="3"/>
        <v>0</v>
      </c>
      <c r="P10" s="11">
        <f t="shared" si="3"/>
        <v>0</v>
      </c>
    </row>
    <row r="11" spans="1:23" ht="15" customHeight="1" x14ac:dyDescent="0.35">
      <c r="A11" s="11"/>
      <c r="B11" s="11" t="s">
        <v>138</v>
      </c>
      <c r="C11" s="11">
        <v>0.3</v>
      </c>
      <c r="D11" s="11"/>
      <c r="E11" s="11" t="s">
        <v>139</v>
      </c>
      <c r="F11" s="11">
        <v>0.3</v>
      </c>
      <c r="G11" s="11"/>
      <c r="H11" s="11" t="s">
        <v>140</v>
      </c>
      <c r="I11" s="11">
        <v>0.4</v>
      </c>
      <c r="J11" s="11"/>
      <c r="K11" s="11"/>
      <c r="L11" s="11"/>
      <c r="M11" s="11"/>
      <c r="N11" s="11"/>
      <c r="O11" s="11"/>
      <c r="P11" s="11"/>
    </row>
    <row r="12" spans="1:23" ht="15" customHeight="1" x14ac:dyDescent="0.35">
      <c r="A12" s="11" t="s">
        <v>141</v>
      </c>
      <c r="B12" s="11">
        <f>0.3*B8+0.4*B9+0.3*B10</f>
        <v>0</v>
      </c>
      <c r="C12" s="11">
        <f>0.3*C8+0.3*C9+0.4*C10</f>
        <v>0</v>
      </c>
      <c r="D12" s="11">
        <f t="shared" ref="D12:P12" si="4">0.3*D8+0.3*D9+0.4*D10</f>
        <v>0</v>
      </c>
      <c r="E12" s="11">
        <f t="shared" si="4"/>
        <v>0</v>
      </c>
      <c r="F12" s="22">
        <f t="shared" si="4"/>
        <v>0</v>
      </c>
      <c r="G12" s="11">
        <f t="shared" si="4"/>
        <v>0</v>
      </c>
      <c r="H12" s="11">
        <f t="shared" si="4"/>
        <v>0</v>
      </c>
      <c r="I12" s="11">
        <f t="shared" si="4"/>
        <v>0</v>
      </c>
      <c r="J12" s="11">
        <f t="shared" si="4"/>
        <v>0</v>
      </c>
      <c r="K12" s="22">
        <f t="shared" si="4"/>
        <v>0</v>
      </c>
      <c r="L12" s="11">
        <f t="shared" si="4"/>
        <v>0</v>
      </c>
      <c r="M12" s="11">
        <f t="shared" si="4"/>
        <v>0</v>
      </c>
      <c r="N12" s="11">
        <f t="shared" si="4"/>
        <v>0</v>
      </c>
      <c r="O12" s="22">
        <f t="shared" si="4"/>
        <v>0</v>
      </c>
      <c r="P12" s="11">
        <f t="shared" si="4"/>
        <v>0</v>
      </c>
    </row>
    <row r="13" spans="1:23" ht="15" customHeight="1" x14ac:dyDescent="0.3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</sheetData>
  <mergeCells count="8">
    <mergeCell ref="A7:P7"/>
    <mergeCell ref="A1:A3"/>
    <mergeCell ref="B2:C2"/>
    <mergeCell ref="D2:G2"/>
    <mergeCell ref="H2:I2"/>
    <mergeCell ref="B1:P1"/>
    <mergeCell ref="J2:M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Barrier Score</vt:lpstr>
      <vt:lpstr>Cost Factor</vt:lpstr>
      <vt:lpstr>KPI Factor</vt:lpstr>
      <vt:lpstr>ISRI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Sanket Parab</dc:creator>
  <cp:keywords/>
  <dc:description/>
  <cp:lastModifiedBy>Sanket Parab</cp:lastModifiedBy>
  <cp:revision/>
  <dcterms:created xsi:type="dcterms:W3CDTF">2024-08-14T06:03:55Z</dcterms:created>
  <dcterms:modified xsi:type="dcterms:W3CDTF">2026-03-26T05:52:41Z</dcterms:modified>
  <cp:category/>
  <cp:contentStatus/>
</cp:coreProperties>
</file>