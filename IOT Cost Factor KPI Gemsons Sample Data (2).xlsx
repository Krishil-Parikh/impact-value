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210" activeTab="2"/>
  </bookViews>
  <sheets>
    <sheet name="Barrier Score" sheetId="1" r:id="rId1"/>
    <sheet name="Cost Factor" sheetId="2" r:id="rId2"/>
    <sheet name="KPI Factor" sheetId="3" r:id="rId3"/>
    <sheet name="ISRI" sheetId="4" r:id="rId4"/>
  </sheets>
  <calcPr calcId="162913"/>
</workbook>
</file>

<file path=xl/calcChain.xml><?xml version="1.0" encoding="utf-8"?>
<calcChain xmlns="http://schemas.openxmlformats.org/spreadsheetml/2006/main">
  <c r="J12" i="4" l="1"/>
  <c r="F12" i="4"/>
  <c r="C12" i="4"/>
  <c r="B12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P8" i="4"/>
  <c r="P12" i="4" s="1"/>
  <c r="O8" i="4"/>
  <c r="O12" i="4" s="1"/>
  <c r="N8" i="4"/>
  <c r="N12" i="4" s="1"/>
  <c r="M8" i="4"/>
  <c r="M12" i="4" s="1"/>
  <c r="L8" i="4"/>
  <c r="L12" i="4" s="1"/>
  <c r="K8" i="4"/>
  <c r="K12" i="4" s="1"/>
  <c r="J8" i="4"/>
  <c r="I8" i="4"/>
  <c r="I12" i="4" s="1"/>
  <c r="H8" i="4"/>
  <c r="H12" i="4" s="1"/>
  <c r="G8" i="4"/>
  <c r="G12" i="4" s="1"/>
  <c r="F8" i="4"/>
  <c r="E8" i="4"/>
  <c r="E12" i="4" s="1"/>
  <c r="D8" i="4"/>
  <c r="D12" i="4" s="1"/>
  <c r="C8" i="4"/>
  <c r="B8" i="4"/>
  <c r="Q6" i="4"/>
  <c r="Q5" i="4"/>
  <c r="Q4" i="4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</calcChain>
</file>

<file path=xl/sharedStrings.xml><?xml version="1.0" encoding="utf-8"?>
<sst xmlns="http://schemas.openxmlformats.org/spreadsheetml/2006/main" count="211" uniqueCount="163">
  <si>
    <t>Barrier Score Caluction Table</t>
  </si>
  <si>
    <t>Sr. No.</t>
  </si>
  <si>
    <t>Indicator</t>
  </si>
  <si>
    <t>Input (only enter in this column)</t>
  </si>
  <si>
    <t>Indicator Calculation (don't fill)</t>
  </si>
  <si>
    <t>Normalized Value (don't fill)</t>
  </si>
  <si>
    <t>Weight (don't fill)</t>
  </si>
  <si>
    <t>Score (don't fill)</t>
  </si>
  <si>
    <t>i. Number of training programs offered per year. (Avg-5 , put 5 only if there is more than 5)</t>
  </si>
  <si>
    <t>ii Percentage of employees trained in digital technologies.(% of Employees Trained)</t>
  </si>
  <si>
    <t>iii.Budget allocation for employee training(Budget Allocated as % of total payroll,5% considered to be good budget)</t>
  </si>
  <si>
    <t>Total Barrier Score for "Lack of training for workers and managers"</t>
  </si>
  <si>
    <t>i.Employee turnover rate following the introduction of IoT initiatives.(Considering 20% is alarming rate)</t>
  </si>
  <si>
    <t>ii.Percentage of employees who express resistance to adopting new technologies in surveys.(Resisitance in Surveys)</t>
  </si>
  <si>
    <t>iii.Number of feedback sessions or meetings held to address concerns regarding IoT implementation.(12 Meeting/yr good)</t>
  </si>
  <si>
    <t>15 (for IT, software, ERP)</t>
  </si>
  <si>
    <t>Total Barrier Score for "Resistance to change"</t>
  </si>
  <si>
    <t>i.Number of digital skills workshops attended by employees.(Assuming 5 Workshops being Healthy)</t>
  </si>
  <si>
    <t xml:space="preserve">ii.Percentage of employees who are comfortable using digital tools  </t>
  </si>
  <si>
    <t>iii.Adoption rate of digital tools and platforms across the organization.</t>
  </si>
  <si>
    <t>Total Barrier Score for "Lack of digital culture and training"</t>
  </si>
  <si>
    <t>i.Training expenditure as a percentage of total operational costs.</t>
  </si>
  <si>
    <t>ii.Average training hours per employee per year( 40 hours is considered as norm)</t>
  </si>
  <si>
    <t>iii.ROI on training programs (e.g., productivity improvements post-training).</t>
  </si>
  <si>
    <t>Total Barrier Score for "Higher investment in employees' training"</t>
  </si>
  <si>
    <t>i.Number of knowledge-sharing sessions conducted internally.(Assumes 2/month or 24/yr is a good target)</t>
  </si>
  <si>
    <t>3/yr</t>
  </si>
  <si>
    <t>ii.Percentage of employees with access to a centralized knowledge management system.(Inverted percentage)</t>
  </si>
  <si>
    <t>iii.Frequency of updates to the knowledge management system.(Weekly=0.25, Monthly=0.5, Quarterly=0.75)</t>
  </si>
  <si>
    <t>Total Barrier Score for "Lack of knowledge management systems"</t>
  </si>
  <si>
    <t>i.Number of non-compliance incidents or penalties related to IoT implementation.(Assumes 5 incidents/yr is a crisis level)</t>
  </si>
  <si>
    <t>ii.Percentage of IoT projects delayed due to regulatory challenges.(Direct percentage)</t>
  </si>
  <si>
    <t>iii.Time taken to achieve compliance with new IoT-related regulations.</t>
  </si>
  <si>
    <t>Total Barrier Score for "Regulatory compliance issues"</t>
  </si>
  <si>
    <t>i.Number of industry standards adopted by the organization.(Assumes 10 is a healthy target)</t>
  </si>
  <si>
    <t>ii.Number of IoT devices and systems that conform to established reference architectures.(Inverted percentage of conformity)</t>
  </si>
  <si>
    <t>iii.Percentage of IoT projects delayed due to lack of standardized solutions. (Direct percentage)</t>
  </si>
  <si>
    <t>Total Barrier Score for "Lack of Standards and Reference Architecture" (Tech.)</t>
  </si>
  <si>
    <t>i.Percentage of work locations with stable internet connectivity. (Inverted percentage)</t>
  </si>
  <si>
    <t>ii.Average internet speed across different locations. (Assumes 50 Mbps is a good)</t>
  </si>
  <si>
    <t>200 Mbps</t>
  </si>
  <si>
    <t>iii.Frequency of IT infrastructure outages impacting IoT operations.(Assumes 8 outages/month is a crisis)</t>
  </si>
  <si>
    <t>1/year</t>
  </si>
  <si>
    <t>Total Barrier Score for "Lack of Internet coverage and IT facilities"</t>
  </si>
  <si>
    <r>
      <rPr>
        <b/>
        <sz val="11"/>
        <color rgb="FF000000"/>
        <rFont val="Aptos Narrow"/>
      </rPr>
      <t>i.</t>
    </r>
    <r>
      <rPr>
        <sz val="11"/>
        <color rgb="FF000000"/>
        <rFont val="Aptos Narrow"/>
      </rPr>
      <t xml:space="preserve"> Number of loan applications submitted and approved for technology implementation.(Loan Application Success Rate)</t>
    </r>
  </si>
  <si>
    <r>
      <rPr>
        <b/>
        <sz val="11"/>
        <color rgb="FF000000"/>
        <rFont val="Aptos Narrow"/>
      </rPr>
      <t>ii:</t>
    </r>
    <r>
      <rPr>
        <sz val="11"/>
        <color rgb="FF000000"/>
        <rFont val="Aptos Narrow"/>
      </rPr>
      <t xml:space="preserve"> Percentage of projects delayed or canceled due to lack of funding.(% of Projects Delayed)</t>
    </r>
  </si>
  <si>
    <r>
      <rPr>
        <b/>
        <sz val="11"/>
        <color rgb="FF000000"/>
        <rFont val="Aptos Narrow"/>
      </rPr>
      <t>iii:</t>
    </r>
    <r>
      <rPr>
        <sz val="11"/>
        <color rgb="FF000000"/>
        <rFont val="Aptos Narrow"/>
      </rPr>
      <t xml:space="preserve"> Ratio of external funding (e.g., grants, loans) to total project costs(Ratio of External Funding)</t>
    </r>
  </si>
  <si>
    <t>through banks (80%)</t>
  </si>
  <si>
    <t>Total Barrier Score for "Limited Access to Funding and Credit "</t>
  </si>
  <si>
    <r>
      <rPr>
        <b/>
        <sz val="11"/>
        <color rgb="FF000000"/>
        <rFont val="Aptos Narrow"/>
      </rPr>
      <t>i:</t>
    </r>
    <r>
      <rPr>
        <sz val="11"/>
        <color rgb="FF000000"/>
        <rFont val="Aptos Narrow"/>
      </rPr>
      <t xml:space="preserve"> Year-over-year growth in revenue attributed to IoT initiatives. (Assumes 20% is a successful growth target)</t>
    </r>
  </si>
  <si>
    <r>
      <rPr>
        <b/>
        <sz val="11"/>
        <color rgb="FF000000"/>
        <rFont val="Aptos Narrow"/>
      </rPr>
      <t>ii:</t>
    </r>
    <r>
      <rPr>
        <sz val="11"/>
        <color rgb="FF000000"/>
        <rFont val="Aptos Narrow"/>
      </rPr>
      <t xml:space="preserve"> Profit margin improvement following IoT implementation.(Assumes 5% is a strong improvement target)</t>
    </r>
  </si>
  <si>
    <t>3-5%</t>
  </si>
  <si>
    <r>
      <rPr>
        <b/>
        <sz val="11"/>
        <color rgb="FF000000"/>
        <rFont val="Aptos Narrow"/>
      </rPr>
      <t>iii:</t>
    </r>
    <r>
      <rPr>
        <sz val="11"/>
        <color rgb="FF000000"/>
        <rFont val="Aptos Narrow"/>
      </rPr>
      <t xml:space="preserve"> Number of new revenue streams generated through IoT technologies.(Assumes 3 new streams is a successful target)</t>
    </r>
  </si>
  <si>
    <t>Total Barrier Score for "Future viability &amp; profitability  "</t>
  </si>
  <si>
    <r>
      <rPr>
        <b/>
        <sz val="11"/>
        <color rgb="FF000000"/>
        <rFont val="Aptos Narrow"/>
      </rPr>
      <t>i.</t>
    </r>
    <r>
      <rPr>
        <sz val="11"/>
        <color rgb="FF000000"/>
        <rFont val="Aptos Narrow"/>
      </rPr>
      <t xml:space="preserve"> Percentage of critical operations reliant on third-party vendors.</t>
    </r>
  </si>
  <si>
    <t>raw materials (100%), plating, coating, heat treatment</t>
  </si>
  <si>
    <r>
      <rPr>
        <b/>
        <sz val="11"/>
        <color rgb="FF000000"/>
        <rFont val="Aptos Narrow"/>
      </rPr>
      <t>ii.</t>
    </r>
    <r>
      <rPr>
        <sz val="11"/>
        <color rgb="FF000000"/>
        <rFont val="Aptos Narrow"/>
      </rPr>
      <t xml:space="preserve"> Number of vendor-related delays or disruptions per year.</t>
    </r>
  </si>
  <si>
    <r>
      <rPr>
        <b/>
        <sz val="11"/>
        <color rgb="FF000000"/>
        <rFont val="Aptos Narrow"/>
      </rPr>
      <t>iii:</t>
    </r>
    <r>
      <rPr>
        <sz val="11"/>
        <color rgb="FF000000"/>
        <rFont val="Aptos Narrow"/>
      </rPr>
      <t xml:space="preserve"> Cost of vendor contracts as a percentage of total operating expenses </t>
    </r>
  </si>
  <si>
    <t>Total Barrier Score for "Dependency on External Vendors "</t>
  </si>
  <si>
    <t>i.Percentage of the total budget allocated to IoT implementation. (IoT Project % of Total IT Budget)</t>
  </si>
  <si>
    <t>ii.Operational and Maintenance Costs- Annual maintenance and support costs as a percentage of total operational costs.(O&amp;M Costs (% of total operational cost)) (Assumes 5% is a crisis level for an SME)</t>
  </si>
  <si>
    <t>iii.Integration Costs- Measure the expenses involved in integrating new IoT technologies with the company's existing IT infrastructure and business systems.	 (Integration Costs (% of total project cost))</t>
  </si>
  <si>
    <t>N/A</t>
  </si>
  <si>
    <t>Total Barrier Score for "High Implementation Cost "</t>
  </si>
  <si>
    <r>
      <rPr>
        <b/>
        <sz val="11"/>
        <color rgb="FF000000"/>
        <rFont val="Aptos Narrow"/>
      </rPr>
      <t>i:</t>
    </r>
    <r>
      <rPr>
        <sz val="11"/>
        <color rgb="FF000000"/>
        <rFont val="Aptos Narrow"/>
      </rPr>
      <t xml:space="preserve"> Number of regulatory violations or penalties incurred due to non-compliance.(Regulatory Violations or Penalties) Assumes 4 incidents/yr is a crisis level</t>
    </r>
  </si>
  <si>
    <r>
      <rPr>
        <b/>
        <sz val="11"/>
        <color rgb="FF000000"/>
        <rFont val="Aptos Narrow"/>
      </rPr>
      <t>ii:</t>
    </r>
    <r>
      <rPr>
        <sz val="11"/>
        <color rgb="FF000000"/>
        <rFont val="Aptos Narrow"/>
      </rPr>
      <t xml:space="preserve"> Percentage of compliance audits passed without issues.(% of Audits Passed Without Issues) Inverted percentage</t>
    </r>
  </si>
  <si>
    <r>
      <rPr>
        <b/>
        <sz val="11"/>
        <color rgb="FF000000"/>
        <rFont val="Aptos Narrow"/>
      </rPr>
      <t>iii:</t>
    </r>
    <r>
      <rPr>
        <sz val="11"/>
        <color rgb="FF000000"/>
        <rFont val="Aptos Narrow"/>
      </rPr>
      <t xml:space="preserve"> Frequency of updates to internal policies and procedures in response to regulatory changes.Frequency of Policy Updates (Quarterly=0.5, Bi-Annually=0.75, Annually=1.0)</t>
    </r>
  </si>
  <si>
    <t>Total Barrier Score for "Compliance with Sector-Specific Regulations"</t>
  </si>
  <si>
    <t>i.Number of standards-compliant IoT devices used within the organization.(Standards-Compliant IoT Devices) (Inverted percentage)</t>
  </si>
  <si>
    <t>ii.Number of industry-specific guidelines or frameworks that have been implemented.(Industry-Specific Guidelines Implemented)(Assumes 10 relevant guidelines exist)</t>
  </si>
  <si>
    <t>Total Barrier Score for "Lack of Regulations and Standards"(Legal)</t>
  </si>
  <si>
    <t>i.Percentage of customers who refuse to share data (survey-based).% of Customers Refusing Data</t>
  </si>
  <si>
    <t>ii.Number of customer complaints or concerns regarding data sharing. (Customer Complaints/Concerns) (Assumes 25 complaints/yr is a crisis level)</t>
  </si>
  <si>
    <t>iii.Number of customer contracts with explicit data-sharing agreements.( % of Contracts with Data Agreements) (Inverted percentage)</t>
  </si>
  <si>
    <t>Total Barrier Score for "Customers are hesitant to share data"</t>
  </si>
  <si>
    <t>Cost Categories</t>
  </si>
  <si>
    <t>Input (only input as % of total F.Y. Revene )</t>
  </si>
  <si>
    <t>Cost Calculation Table</t>
  </si>
  <si>
    <t>Human</t>
  </si>
  <si>
    <t>Organizational</t>
  </si>
  <si>
    <t>Technological</t>
  </si>
  <si>
    <t>Financial</t>
  </si>
  <si>
    <t>Legal</t>
  </si>
  <si>
    <t>Customer</t>
  </si>
  <si>
    <t>Lack of training for workers and Managers</t>
  </si>
  <si>
    <t>Resistance to change</t>
  </si>
  <si>
    <t>Lack of digital culture and training</t>
  </si>
  <si>
    <t>Higher investment in employees' training.</t>
  </si>
  <si>
    <t>Lack of knowledge management systems</t>
  </si>
  <si>
    <t>Regulatory compliance issues</t>
  </si>
  <si>
    <t>Lack of Standards and Reference Architecture</t>
  </si>
  <si>
    <t>Lack of Internet coverage and IT facilities</t>
  </si>
  <si>
    <t xml:space="preserve">Limited Access to Funding and Credit </t>
  </si>
  <si>
    <t xml:space="preserve">Future viability &amp; profitability </t>
  </si>
  <si>
    <t>Dependency on External Vendors</t>
  </si>
  <si>
    <t>High Implementation Cost</t>
  </si>
  <si>
    <t>Compliance with Sector-Specific Regulations</t>
  </si>
  <si>
    <t>Lack of Regulations and Standards</t>
  </si>
  <si>
    <t>Customers are hesitant to share data</t>
  </si>
  <si>
    <t>Aftermarket Services / Warranty</t>
  </si>
  <si>
    <t>since we manu as per cust drawings, not having our own product so, no scope for aftersales. Warranty is provided for 2-3 years.</t>
  </si>
  <si>
    <t>Depreciation</t>
  </si>
  <si>
    <t>Labour</t>
  </si>
  <si>
    <t>Maintenance &amp; Repair</t>
  </si>
  <si>
    <t>Raw Materials &amp; Consumables</t>
  </si>
  <si>
    <t>Rental &amp; Operating Lease</t>
  </si>
  <si>
    <t>Research &amp; Development (R&amp;D)</t>
  </si>
  <si>
    <t xml:space="preserve">Selling, General &amp; Administrative Expense </t>
  </si>
  <si>
    <t>Utilities</t>
  </si>
  <si>
    <t>Earnings Before Interest &amp; Taxes (EBIT)</t>
  </si>
  <si>
    <t>Financing Costs</t>
  </si>
  <si>
    <t>Taxation and Compliance Costs</t>
  </si>
  <si>
    <t>Supply Chain and Logistics Costs</t>
  </si>
  <si>
    <t>Technology and Digital Infrastructure Costs</t>
  </si>
  <si>
    <t>Training and Skill Development Costs</t>
  </si>
  <si>
    <t>Regulatory and Compliance Costs</t>
  </si>
  <si>
    <t>Insurance Costs</t>
  </si>
  <si>
    <t>Marketing and Customer Acquisition Costs</t>
  </si>
  <si>
    <t>Environmental and Social Responsibility Costs</t>
  </si>
  <si>
    <t>Quality Control and Assurance</t>
  </si>
  <si>
    <t>Cost Factor</t>
  </si>
  <si>
    <t>KPI Categories</t>
  </si>
  <si>
    <t>Input</t>
  </si>
  <si>
    <t>KPI Factor Calculation Table</t>
  </si>
  <si>
    <t>Asset &amp; Equipment Efficiency</t>
  </si>
  <si>
    <t>Utilities Efficiency</t>
  </si>
  <si>
    <t>Inventory Efficiency</t>
  </si>
  <si>
    <t>Process Quality</t>
  </si>
  <si>
    <t>Product Quality</t>
  </si>
  <si>
    <t>Safety &amp; Security</t>
  </si>
  <si>
    <t>Planning &amp; Scheduling Effectiveness</t>
  </si>
  <si>
    <t>Time to Market</t>
  </si>
  <si>
    <t>Production Flexibility</t>
  </si>
  <si>
    <t>Customer Satisfaction</t>
  </si>
  <si>
    <t>Supply Chain Efficiency</t>
  </si>
  <si>
    <t>Market Share Growth</t>
  </si>
  <si>
    <t>Employee Productivity</t>
  </si>
  <si>
    <t>Return on Investment (ROI)</t>
  </si>
  <si>
    <t>Financial Health and Stability</t>
  </si>
  <si>
    <t>Talent Retention</t>
  </si>
  <si>
    <t>Customer Retention Rate</t>
  </si>
  <si>
    <t>KPI Factor</t>
  </si>
  <si>
    <t>Increase in Turnover</t>
  </si>
  <si>
    <t>Dimensions</t>
  </si>
  <si>
    <t>Barriers</t>
  </si>
  <si>
    <t>Total</t>
  </si>
  <si>
    <t>Barrier Score</t>
  </si>
  <si>
    <t xml:space="preserve">Normalized Value </t>
  </si>
  <si>
    <t>Cost Factor-N</t>
  </si>
  <si>
    <t>KPI Factor-N</t>
  </si>
  <si>
    <t>Barrier Score-N</t>
  </si>
  <si>
    <t>W-Cost</t>
  </si>
  <si>
    <t>W- KPI</t>
  </si>
  <si>
    <t>W-BS</t>
  </si>
  <si>
    <t xml:space="preserve">Impact Value </t>
  </si>
  <si>
    <t>150 out of 900  (16.67)</t>
  </si>
  <si>
    <t>every 6months (Take Score as 0)</t>
  </si>
  <si>
    <t>NA  (Take Score as 0)</t>
  </si>
  <si>
    <t>NA (Take Score as 0)</t>
  </si>
  <si>
    <t>NA(Take Score as 0)</t>
  </si>
  <si>
    <t>own expense (Take Score as 0)</t>
  </si>
  <si>
    <t>none (Take Score as 0)</t>
  </si>
  <si>
    <t>(Take Score as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</si>
</sst>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Aptos Narrow"/>
      <scheme val="minor"/>
    </font>
    <font>
      <sz val="11"/>
      <name val="Aptos Narrow"/>
    </font>
    <font>
      <b/>
      <sz val="11"/>
      <name val="Aptos Narrow"/>
    </font>
    <font>
      <b/>
      <sz val="11"/>
      <color rgb="FF000000"/>
      <name val="Aptos Narrow"/>
    </font>
    <font>
      <sz val="11"/>
      <name val="Aptos Narrow"/>
    </font>
    <font>
      <b/>
      <sz val="11"/>
      <color rgb="FFFFFFFF"/>
      <name val="Aptos Narrow"/>
    </font>
    <font>
      <b/>
      <sz val="11"/>
      <color rgb="FF000000"/>
      <name val="Calibri"/>
    </font>
    <font>
      <sz val="10"/>
      <name val="Arial"/>
    </font>
    <font>
      <sz val="11"/>
      <name val="Arial"/>
    </font>
    <font>
      <sz val="11"/>
      <name val="Arial"/>
    </font>
    <font>
      <sz val="11"/>
      <color rgb="FFFF0000"/>
      <name val="Aptos Narrow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9" fontId="1" fillId="0" borderId="0" xfId="0" applyNumberFormat="1" applyFont="1" applyAlignment="1">
      <alignment horizontal="left"/>
    </xf>
    <xf numFmtId="0" fontId="3" fillId="0" borderId="0" xfId="0" applyFont="1"/>
    <xf numFmtId="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5" fillId="7" borderId="3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4" xfId="0" applyFont="1" applyBorder="1" applyAlignment="1">
      <alignment horizontal="left" wrapText="1"/>
    </xf>
    <xf numFmtId="0" fontId="1" fillId="0" borderId="3" xfId="0" applyFont="1" applyBorder="1"/>
    <xf numFmtId="10" fontId="8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 wrapText="1"/>
    </xf>
    <xf numFmtId="10" fontId="9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0" fillId="0" borderId="0" xfId="0" applyFont="1"/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9" borderId="0" xfId="0" applyFont="1" applyFill="1" applyAlignment="1">
      <alignment wrapText="1"/>
    </xf>
    <xf numFmtId="0" fontId="1" fillId="9" borderId="0" xfId="0" applyFont="1" applyFill="1"/>
    <xf numFmtId="0" fontId="0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opLeftCell="B46" workbookViewId="0">
      <selection activeCell="G57" sqref="G57"/>
    </sheetView>
  </sheetViews>
  <sheetFormatPr defaultColWidth="14.375" defaultRowHeight="15" customHeight="1"/>
  <cols>
    <col min="1" max="5" width="8.75" customWidth="1"/>
    <col min="6" max="6" width="77.25" customWidth="1"/>
    <col min="7" max="7" width="40.875" customWidth="1"/>
    <col min="8" max="8" width="32.375" customWidth="1"/>
    <col min="9" max="9" width="23.125" customWidth="1"/>
    <col min="10" max="10" width="14.625" customWidth="1"/>
    <col min="11" max="11" width="8.75" customWidth="1"/>
  </cols>
  <sheetData>
    <row r="1" spans="1:11" ht="14.25">
      <c r="A1" s="37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4.25">
      <c r="A2" t="s">
        <v>1</v>
      </c>
      <c r="B2" s="37" t="s">
        <v>2</v>
      </c>
      <c r="C2" s="32"/>
      <c r="D2" s="32"/>
      <c r="E2" s="32"/>
      <c r="F2" s="32"/>
      <c r="G2" s="1" t="s">
        <v>3</v>
      </c>
      <c r="H2" s="1" t="s">
        <v>4</v>
      </c>
      <c r="I2" t="s">
        <v>5</v>
      </c>
      <c r="J2" t="s">
        <v>6</v>
      </c>
      <c r="K2" t="s">
        <v>7</v>
      </c>
    </row>
    <row r="3" spans="1:11" ht="14.25">
      <c r="A3" s="35">
        <v>1</v>
      </c>
      <c r="B3" s="31" t="s">
        <v>8</v>
      </c>
      <c r="C3" s="32"/>
      <c r="D3" s="32"/>
      <c r="E3" s="32"/>
      <c r="F3" s="32"/>
      <c r="G3" s="3">
        <v>6</v>
      </c>
      <c r="H3" s="3"/>
    </row>
    <row r="4" spans="1:11" ht="14.25">
      <c r="A4" s="32"/>
      <c r="B4" s="31" t="s">
        <v>9</v>
      </c>
      <c r="C4" s="32"/>
      <c r="D4" s="32"/>
      <c r="E4" s="32"/>
      <c r="F4" s="32"/>
      <c r="G4" s="3" t="s">
        <v>155</v>
      </c>
      <c r="H4" s="3"/>
    </row>
    <row r="5" spans="1:11" ht="14.25">
      <c r="A5" s="32"/>
      <c r="B5" s="31" t="s">
        <v>10</v>
      </c>
      <c r="C5" s="32"/>
      <c r="D5" s="32"/>
      <c r="E5" s="32"/>
      <c r="F5" s="32"/>
      <c r="G5" s="4">
        <v>1.4999999999999999E-2</v>
      </c>
      <c r="H5" s="3"/>
    </row>
    <row r="6" spans="1:11" ht="27.75" customHeight="1">
      <c r="A6" s="32"/>
      <c r="B6" s="34" t="s">
        <v>11</v>
      </c>
      <c r="C6" s="32"/>
      <c r="D6" s="32"/>
      <c r="E6" s="32"/>
      <c r="F6" s="32"/>
      <c r="G6" s="5"/>
      <c r="H6" s="5"/>
      <c r="K6" s="6"/>
    </row>
    <row r="7" spans="1:11" ht="14.25">
      <c r="A7" s="35">
        <v>2</v>
      </c>
      <c r="B7" s="31" t="s">
        <v>12</v>
      </c>
      <c r="C7" s="32"/>
      <c r="D7" s="32"/>
      <c r="E7" s="32"/>
      <c r="F7" s="32"/>
      <c r="G7" s="3">
        <v>15</v>
      </c>
      <c r="H7" s="3"/>
    </row>
    <row r="8" spans="1:11" ht="14.25">
      <c r="A8" s="32"/>
      <c r="B8" s="31" t="s">
        <v>13</v>
      </c>
      <c r="C8" s="32"/>
      <c r="D8" s="32"/>
      <c r="E8" s="32"/>
      <c r="F8" s="32"/>
      <c r="G8" s="7">
        <v>0.3</v>
      </c>
      <c r="H8" s="3"/>
    </row>
    <row r="9" spans="1:11" ht="14.25">
      <c r="A9" s="32"/>
      <c r="B9" s="31" t="s">
        <v>14</v>
      </c>
      <c r="C9" s="32"/>
      <c r="D9" s="32"/>
      <c r="E9" s="32"/>
      <c r="F9" s="32"/>
      <c r="G9" s="3" t="s">
        <v>15</v>
      </c>
      <c r="H9" s="3"/>
    </row>
    <row r="10" spans="1:11">
      <c r="A10" s="32"/>
      <c r="B10" s="34" t="s">
        <v>16</v>
      </c>
      <c r="C10" s="32"/>
      <c r="D10" s="32"/>
      <c r="E10" s="32"/>
      <c r="F10" s="32"/>
      <c r="G10" s="5"/>
      <c r="H10" s="5"/>
      <c r="K10" s="6"/>
    </row>
    <row r="11" spans="1:11" ht="14.25">
      <c r="A11" s="35">
        <v>3</v>
      </c>
      <c r="B11" s="31" t="s">
        <v>17</v>
      </c>
      <c r="C11" s="32"/>
      <c r="D11" s="32"/>
      <c r="E11" s="32"/>
      <c r="F11" s="32"/>
      <c r="G11" s="3">
        <v>8</v>
      </c>
      <c r="H11" s="3"/>
    </row>
    <row r="12" spans="1:11" ht="14.25">
      <c r="A12" s="32"/>
      <c r="B12" s="31" t="s">
        <v>18</v>
      </c>
      <c r="C12" s="32"/>
      <c r="D12" s="32"/>
      <c r="E12" s="32"/>
      <c r="F12" s="32"/>
      <c r="G12" s="7">
        <v>0.9</v>
      </c>
      <c r="H12" s="3"/>
    </row>
    <row r="13" spans="1:11" ht="14.25">
      <c r="A13" s="32"/>
      <c r="B13" s="31" t="s">
        <v>19</v>
      </c>
      <c r="C13" s="32"/>
      <c r="D13" s="32"/>
      <c r="E13" s="32"/>
      <c r="F13" s="32"/>
      <c r="G13" s="7">
        <v>0.25</v>
      </c>
      <c r="H13" s="3"/>
    </row>
    <row r="14" spans="1:11">
      <c r="A14" s="32"/>
      <c r="B14" s="34" t="s">
        <v>20</v>
      </c>
      <c r="C14" s="32"/>
      <c r="D14" s="32"/>
      <c r="E14" s="32"/>
      <c r="F14" s="32"/>
      <c r="G14" s="5"/>
      <c r="H14" s="5"/>
      <c r="K14" s="6"/>
    </row>
    <row r="15" spans="1:11" ht="14.25">
      <c r="A15" s="35">
        <v>4</v>
      </c>
      <c r="B15" s="31" t="s">
        <v>21</v>
      </c>
      <c r="C15" s="32"/>
      <c r="D15" s="32"/>
      <c r="E15" s="32"/>
      <c r="F15" s="32"/>
      <c r="G15" s="7">
        <v>1.4999999999999999E-2</v>
      </c>
      <c r="H15" s="3"/>
    </row>
    <row r="16" spans="1:11" ht="14.25">
      <c r="A16" s="32"/>
      <c r="B16" s="31" t="s">
        <v>22</v>
      </c>
      <c r="C16" s="32"/>
      <c r="D16" s="32"/>
      <c r="E16" s="32"/>
      <c r="F16" s="32"/>
      <c r="G16">
        <v>20</v>
      </c>
      <c r="H16" s="3"/>
    </row>
    <row r="17" spans="1:11" ht="14.25">
      <c r="A17" s="32"/>
      <c r="B17" s="31" t="s">
        <v>23</v>
      </c>
      <c r="C17" s="32"/>
      <c r="D17" s="32"/>
      <c r="E17" s="32"/>
      <c r="F17" s="32"/>
      <c r="G17" s="7">
        <v>1.4999999999999999E-2</v>
      </c>
      <c r="H17" s="3"/>
    </row>
    <row r="18" spans="1:11">
      <c r="A18" s="32"/>
      <c r="B18" s="34" t="s">
        <v>24</v>
      </c>
      <c r="C18" s="32"/>
      <c r="D18" s="32"/>
      <c r="E18" s="32"/>
      <c r="F18" s="32"/>
      <c r="G18" s="5"/>
      <c r="H18" s="5"/>
      <c r="K18" s="6"/>
    </row>
    <row r="19" spans="1:11" ht="14.25">
      <c r="A19" s="35">
        <v>5</v>
      </c>
      <c r="B19" s="31" t="s">
        <v>25</v>
      </c>
      <c r="C19" s="32"/>
      <c r="D19" s="32"/>
      <c r="E19" s="32"/>
      <c r="F19" s="32"/>
      <c r="G19" s="3" t="s">
        <v>26</v>
      </c>
      <c r="H19" s="3"/>
    </row>
    <row r="20" spans="1:11" ht="14.25">
      <c r="A20" s="32"/>
      <c r="B20" s="31" t="s">
        <v>27</v>
      </c>
      <c r="C20" s="32"/>
      <c r="D20" s="32"/>
      <c r="E20" s="32"/>
      <c r="F20" s="32"/>
      <c r="G20" s="7">
        <v>0.4</v>
      </c>
      <c r="H20" s="3"/>
    </row>
    <row r="21" spans="1:11" ht="15.75" customHeight="1">
      <c r="A21" s="32"/>
      <c r="B21" s="31" t="s">
        <v>28</v>
      </c>
      <c r="C21" s="32"/>
      <c r="D21" s="32"/>
      <c r="E21" s="32"/>
      <c r="F21" s="32"/>
      <c r="G21" s="3" t="s">
        <v>156</v>
      </c>
      <c r="H21" s="3"/>
    </row>
    <row r="22" spans="1:11" ht="15.75" customHeight="1">
      <c r="A22" s="32"/>
      <c r="B22" s="34" t="s">
        <v>29</v>
      </c>
      <c r="C22" s="32"/>
      <c r="D22" s="32"/>
      <c r="E22" s="32"/>
      <c r="F22" s="32"/>
      <c r="G22" s="5"/>
      <c r="H22" s="5"/>
      <c r="K22" s="6"/>
    </row>
    <row r="23" spans="1:11" ht="15.75" customHeight="1">
      <c r="A23" s="35">
        <v>6</v>
      </c>
      <c r="B23" s="31" t="s">
        <v>30</v>
      </c>
      <c r="C23" s="32"/>
      <c r="D23" s="32"/>
      <c r="E23" s="32"/>
      <c r="F23" s="32"/>
      <c r="G23" s="3" t="s">
        <v>157</v>
      </c>
      <c r="H23" s="3"/>
    </row>
    <row r="24" spans="1:11" ht="15.75" customHeight="1">
      <c r="A24" s="32"/>
      <c r="B24" s="31" t="s">
        <v>31</v>
      </c>
      <c r="C24" s="32"/>
      <c r="D24" s="32"/>
      <c r="E24" s="32"/>
      <c r="F24" s="32"/>
      <c r="G24" s="7" t="s">
        <v>158</v>
      </c>
      <c r="H24" s="3"/>
    </row>
    <row r="25" spans="1:11" ht="15.75" customHeight="1">
      <c r="A25" s="32"/>
      <c r="B25" s="31" t="s">
        <v>32</v>
      </c>
      <c r="C25" s="32"/>
      <c r="D25" s="32"/>
      <c r="E25" s="32"/>
      <c r="F25" s="32"/>
      <c r="G25" s="3" t="s">
        <v>159</v>
      </c>
      <c r="H25" s="3"/>
    </row>
    <row r="26" spans="1:11" ht="15.75" customHeight="1">
      <c r="A26" s="32"/>
      <c r="B26" s="34" t="s">
        <v>33</v>
      </c>
      <c r="C26" s="32"/>
      <c r="D26" s="32"/>
      <c r="E26" s="32"/>
      <c r="F26" s="32"/>
      <c r="G26" s="5"/>
      <c r="H26" s="5"/>
      <c r="K26" s="6"/>
    </row>
    <row r="27" spans="1:11" ht="15.75" customHeight="1">
      <c r="A27" s="35">
        <v>7</v>
      </c>
      <c r="B27" s="31" t="s">
        <v>34</v>
      </c>
      <c r="C27" s="32"/>
      <c r="D27" s="32"/>
      <c r="E27" s="32"/>
      <c r="F27" s="32"/>
      <c r="G27" s="3">
        <v>12</v>
      </c>
      <c r="H27" s="3"/>
    </row>
    <row r="28" spans="1:11" ht="15.75" customHeight="1">
      <c r="A28" s="32"/>
      <c r="B28" s="31" t="s">
        <v>35</v>
      </c>
      <c r="C28" s="32"/>
      <c r="D28" s="32"/>
      <c r="E28" s="32"/>
      <c r="F28" s="32"/>
      <c r="G28" s="3" t="s">
        <v>158</v>
      </c>
      <c r="H28" s="3"/>
    </row>
    <row r="29" spans="1:11" ht="15.75" customHeight="1">
      <c r="A29" s="32"/>
      <c r="B29" s="31" t="s">
        <v>36</v>
      </c>
      <c r="C29" s="32"/>
      <c r="D29" s="32"/>
      <c r="E29" s="32"/>
      <c r="F29" s="32"/>
      <c r="G29" s="7" t="s">
        <v>158</v>
      </c>
      <c r="H29" s="3"/>
    </row>
    <row r="30" spans="1:11" ht="15.75" customHeight="1">
      <c r="A30" s="32"/>
      <c r="B30" s="34" t="s">
        <v>37</v>
      </c>
      <c r="C30" s="32"/>
      <c r="D30" s="32"/>
      <c r="E30" s="32"/>
      <c r="F30" s="32"/>
      <c r="G30" s="5"/>
      <c r="H30" s="5"/>
      <c r="K30" s="6"/>
    </row>
    <row r="31" spans="1:11" ht="15.75" customHeight="1">
      <c r="A31" s="35">
        <v>8</v>
      </c>
      <c r="B31" s="31" t="s">
        <v>38</v>
      </c>
      <c r="C31" s="32"/>
      <c r="D31" s="32"/>
      <c r="E31" s="32"/>
      <c r="F31" s="32"/>
      <c r="G31" s="7">
        <v>0.9</v>
      </c>
      <c r="H31" s="3"/>
    </row>
    <row r="32" spans="1:11" ht="15.75" customHeight="1">
      <c r="A32" s="32"/>
      <c r="B32" s="31" t="s">
        <v>39</v>
      </c>
      <c r="C32" s="32"/>
      <c r="D32" s="32"/>
      <c r="E32" s="32"/>
      <c r="F32" s="32"/>
      <c r="G32" s="3" t="s">
        <v>40</v>
      </c>
      <c r="H32" s="3"/>
    </row>
    <row r="33" spans="1:11" ht="15.75" customHeight="1">
      <c r="A33" s="32"/>
      <c r="B33" s="31" t="s">
        <v>41</v>
      </c>
      <c r="C33" s="32"/>
      <c r="D33" s="32"/>
      <c r="E33" s="32"/>
      <c r="F33" s="32"/>
      <c r="G33" s="3" t="s">
        <v>42</v>
      </c>
      <c r="H33" s="3"/>
    </row>
    <row r="34" spans="1:11" ht="15.75" customHeight="1">
      <c r="A34" s="32"/>
      <c r="B34" s="34" t="s">
        <v>43</v>
      </c>
      <c r="C34" s="32"/>
      <c r="D34" s="32"/>
      <c r="E34" s="32"/>
      <c r="F34" s="32"/>
      <c r="G34" s="5"/>
      <c r="H34" s="5"/>
      <c r="K34" s="6"/>
    </row>
    <row r="35" spans="1:11" ht="15.75" customHeight="1">
      <c r="A35" s="35">
        <v>9</v>
      </c>
      <c r="B35" s="8" t="s">
        <v>44</v>
      </c>
      <c r="C35" s="3"/>
      <c r="D35" s="3"/>
      <c r="E35" s="3"/>
      <c r="F35" s="3"/>
      <c r="G35" s="3" t="s">
        <v>160</v>
      </c>
      <c r="H35" s="3"/>
    </row>
    <row r="36" spans="1:11" ht="15.75" customHeight="1">
      <c r="A36" s="32"/>
      <c r="B36" s="8" t="s">
        <v>45</v>
      </c>
      <c r="C36" s="3"/>
      <c r="D36" s="3"/>
      <c r="E36" s="3"/>
      <c r="F36" s="3"/>
      <c r="G36" s="7" t="s">
        <v>161</v>
      </c>
      <c r="H36" s="3"/>
    </row>
    <row r="37" spans="1:11" ht="15.75" customHeight="1">
      <c r="A37" s="32"/>
      <c r="B37" s="8" t="s">
        <v>46</v>
      </c>
      <c r="C37" s="3"/>
      <c r="D37" s="3"/>
      <c r="E37" s="3"/>
      <c r="F37" s="3"/>
      <c r="G37" s="7" t="s">
        <v>47</v>
      </c>
      <c r="H37" s="3"/>
    </row>
    <row r="38" spans="1:11" ht="15.75" customHeight="1">
      <c r="A38" s="32"/>
      <c r="B38" s="34" t="s">
        <v>48</v>
      </c>
      <c r="C38" s="32"/>
      <c r="D38" s="32"/>
      <c r="E38" s="32"/>
      <c r="F38" s="32"/>
      <c r="G38" s="5"/>
      <c r="H38" s="5"/>
      <c r="K38" s="6"/>
    </row>
    <row r="39" spans="1:11" ht="15.75" customHeight="1">
      <c r="A39" s="35">
        <v>10</v>
      </c>
      <c r="B39" s="8" t="s">
        <v>49</v>
      </c>
      <c r="C39" s="3"/>
      <c r="D39" s="3"/>
      <c r="E39" s="3"/>
      <c r="F39" s="3"/>
      <c r="G39" s="7">
        <v>0.15</v>
      </c>
      <c r="H39" s="3"/>
    </row>
    <row r="40" spans="1:11" ht="15.75" customHeight="1">
      <c r="A40" s="32"/>
      <c r="B40" s="8" t="s">
        <v>50</v>
      </c>
      <c r="C40" s="3"/>
      <c r="D40" s="3"/>
      <c r="E40" s="3"/>
      <c r="F40" s="3"/>
      <c r="G40" s="4" t="s">
        <v>51</v>
      </c>
      <c r="H40" s="3"/>
    </row>
    <row r="41" spans="1:11" ht="15.75" customHeight="1">
      <c r="A41" s="32"/>
      <c r="B41" s="8" t="s">
        <v>52</v>
      </c>
      <c r="C41" s="3"/>
      <c r="D41" s="3"/>
      <c r="E41" s="3"/>
      <c r="F41" s="3"/>
      <c r="G41" s="3">
        <v>0</v>
      </c>
      <c r="H41" s="3"/>
    </row>
    <row r="42" spans="1:11" ht="15.75" customHeight="1">
      <c r="A42" s="32"/>
      <c r="B42" s="34" t="s">
        <v>53</v>
      </c>
      <c r="C42" s="32"/>
      <c r="D42" s="32"/>
      <c r="E42" s="32"/>
      <c r="F42" s="32"/>
      <c r="G42" s="5"/>
      <c r="H42" s="5"/>
      <c r="K42" s="6"/>
    </row>
    <row r="43" spans="1:11" ht="15.75" customHeight="1">
      <c r="A43" s="35">
        <v>11</v>
      </c>
      <c r="B43" s="8" t="s">
        <v>54</v>
      </c>
      <c r="C43" s="3"/>
      <c r="D43" s="3"/>
      <c r="E43" s="3"/>
      <c r="F43" s="3"/>
      <c r="G43" s="7" t="s">
        <v>55</v>
      </c>
      <c r="H43" s="3"/>
    </row>
    <row r="44" spans="1:11" ht="15.75" customHeight="1">
      <c r="A44" s="32"/>
      <c r="B44" s="8" t="s">
        <v>56</v>
      </c>
      <c r="C44" s="3"/>
      <c r="D44" s="3"/>
      <c r="E44" s="3"/>
      <c r="F44" s="3"/>
      <c r="G44" s="3">
        <v>4</v>
      </c>
    </row>
    <row r="45" spans="1:11" ht="15.75" customHeight="1">
      <c r="A45" s="32"/>
      <c r="B45" s="8" t="s">
        <v>57</v>
      </c>
      <c r="C45" s="3"/>
      <c r="D45" s="3"/>
      <c r="E45" s="3"/>
      <c r="F45" s="3"/>
      <c r="G45" s="9">
        <v>0.35</v>
      </c>
      <c r="H45" s="10"/>
    </row>
    <row r="46" spans="1:11" ht="15.75" customHeight="1">
      <c r="A46" s="32"/>
      <c r="B46" s="34" t="s">
        <v>58</v>
      </c>
      <c r="C46" s="32"/>
      <c r="D46" s="32"/>
      <c r="E46" s="32"/>
      <c r="F46" s="32"/>
      <c r="G46" s="5"/>
      <c r="H46" s="5"/>
    </row>
    <row r="47" spans="1:11" ht="15.75" customHeight="1">
      <c r="A47" s="35">
        <v>12</v>
      </c>
      <c r="B47" s="31" t="s">
        <v>59</v>
      </c>
      <c r="C47" s="32"/>
      <c r="D47" s="32"/>
      <c r="E47" s="32"/>
      <c r="F47" s="32"/>
      <c r="G47" s="7">
        <v>0.03</v>
      </c>
      <c r="H47" s="3"/>
    </row>
    <row r="48" spans="1:11" ht="31.5" customHeight="1">
      <c r="A48" s="32"/>
      <c r="B48" s="33" t="s">
        <v>60</v>
      </c>
      <c r="C48" s="32"/>
      <c r="D48" s="32"/>
      <c r="E48" s="32"/>
      <c r="F48" s="32"/>
      <c r="G48" s="7">
        <v>0.01</v>
      </c>
    </row>
    <row r="49" spans="1:11" ht="31.5" customHeight="1">
      <c r="A49" s="32"/>
      <c r="B49" s="33" t="s">
        <v>61</v>
      </c>
      <c r="C49" s="32"/>
      <c r="D49" s="32"/>
      <c r="E49" s="32"/>
      <c r="F49" s="32"/>
      <c r="G49" s="9" t="s">
        <v>162</v>
      </c>
      <c r="H49" s="10"/>
    </row>
    <row r="50" spans="1:11" ht="15.75" customHeight="1">
      <c r="A50" s="32"/>
      <c r="B50" s="34" t="s">
        <v>63</v>
      </c>
      <c r="C50" s="32"/>
      <c r="D50" s="32"/>
      <c r="E50" s="32"/>
      <c r="F50" s="32"/>
      <c r="G50" s="5"/>
      <c r="H50" s="5"/>
      <c r="K50" s="6"/>
    </row>
    <row r="51" spans="1:11" ht="30.75" customHeight="1">
      <c r="A51" s="35">
        <v>13</v>
      </c>
      <c r="B51" s="36" t="s">
        <v>64</v>
      </c>
      <c r="C51" s="32"/>
      <c r="D51" s="32"/>
      <c r="E51" s="32"/>
      <c r="F51" s="32"/>
      <c r="G51" s="3">
        <v>0</v>
      </c>
      <c r="H51" s="3"/>
    </row>
    <row r="52" spans="1:11" ht="15.75" customHeight="1">
      <c r="A52" s="32"/>
      <c r="B52" s="8" t="s">
        <v>65</v>
      </c>
      <c r="C52" s="3"/>
      <c r="D52" s="3"/>
      <c r="E52" s="3"/>
      <c r="F52" s="3"/>
      <c r="G52" s="7">
        <v>1</v>
      </c>
      <c r="H52" s="3"/>
    </row>
    <row r="53" spans="1:11" ht="38.25" customHeight="1">
      <c r="A53" s="32"/>
      <c r="B53" s="36" t="s">
        <v>66</v>
      </c>
      <c r="C53" s="32"/>
      <c r="D53" s="32"/>
      <c r="E53" s="32"/>
      <c r="F53" s="32"/>
      <c r="G53" s="3">
        <v>1</v>
      </c>
      <c r="H53" s="3"/>
    </row>
    <row r="54" spans="1:11" ht="15.75" customHeight="1">
      <c r="A54" s="32"/>
      <c r="B54" s="34" t="s">
        <v>67</v>
      </c>
      <c r="C54" s="32"/>
      <c r="D54" s="32"/>
      <c r="E54" s="32"/>
      <c r="F54" s="32"/>
      <c r="G54" s="5"/>
      <c r="H54" s="5"/>
      <c r="K54" s="6"/>
    </row>
    <row r="55" spans="1:11" ht="14.25" customHeight="1">
      <c r="A55" s="35">
        <v>14</v>
      </c>
      <c r="B55" s="3"/>
      <c r="C55" s="3"/>
    </row>
    <row r="56" spans="1:11" ht="15.75" customHeight="1">
      <c r="A56" s="32"/>
      <c r="B56" s="31" t="s">
        <v>68</v>
      </c>
      <c r="C56" s="32"/>
      <c r="D56" s="32"/>
      <c r="E56" s="32"/>
      <c r="F56" s="32"/>
      <c r="G56" s="7" t="s">
        <v>162</v>
      </c>
      <c r="H56" s="3"/>
    </row>
    <row r="57" spans="1:11" ht="34.5" customHeight="1">
      <c r="A57" s="32"/>
      <c r="B57" s="33" t="s">
        <v>69</v>
      </c>
      <c r="C57" s="32"/>
      <c r="D57" s="32"/>
      <c r="E57" s="32"/>
      <c r="F57" s="32"/>
      <c r="G57" s="3">
        <v>8</v>
      </c>
      <c r="H57" s="3"/>
    </row>
    <row r="58" spans="1:11" ht="15.75" customHeight="1">
      <c r="A58" s="32"/>
      <c r="B58" s="34" t="s">
        <v>70</v>
      </c>
      <c r="C58" s="32"/>
      <c r="D58" s="32"/>
      <c r="E58" s="32"/>
      <c r="F58" s="32"/>
      <c r="G58" s="5"/>
      <c r="H58" s="5"/>
      <c r="K58" s="6"/>
    </row>
    <row r="59" spans="1:11" ht="15.75" customHeight="1">
      <c r="A59" s="35">
        <v>15</v>
      </c>
      <c r="B59" s="31" t="s">
        <v>71</v>
      </c>
      <c r="C59" s="32"/>
      <c r="D59" s="32"/>
      <c r="E59" s="32"/>
      <c r="F59" s="32"/>
      <c r="G59" s="7">
        <v>0.1</v>
      </c>
      <c r="H59" s="3"/>
    </row>
    <row r="60" spans="1:11" ht="36" customHeight="1">
      <c r="A60" s="32"/>
      <c r="B60" s="33" t="s">
        <v>72</v>
      </c>
      <c r="C60" s="32"/>
      <c r="D60" s="32"/>
      <c r="E60" s="32"/>
      <c r="F60" s="32"/>
      <c r="G60" s="3">
        <v>2</v>
      </c>
      <c r="H60" s="3"/>
    </row>
    <row r="61" spans="1:11" ht="15" customHeight="1">
      <c r="A61" s="32"/>
      <c r="B61" s="31" t="s">
        <v>73</v>
      </c>
      <c r="C61" s="32"/>
      <c r="D61" s="32"/>
      <c r="E61" s="32"/>
      <c r="F61" s="32"/>
      <c r="G61" s="7">
        <v>0.7</v>
      </c>
      <c r="H61" s="3"/>
    </row>
    <row r="62" spans="1:11" ht="15.75" customHeight="1">
      <c r="A62" s="32"/>
      <c r="B62" s="34" t="s">
        <v>74</v>
      </c>
      <c r="C62" s="32"/>
      <c r="D62" s="32"/>
      <c r="E62" s="32"/>
      <c r="F62" s="32"/>
      <c r="G62" s="5"/>
      <c r="H62" s="5"/>
      <c r="K62" s="6"/>
    </row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6">
    <mergeCell ref="A1:K1"/>
    <mergeCell ref="A3:A6"/>
    <mergeCell ref="A7:A10"/>
    <mergeCell ref="B5:F5"/>
    <mergeCell ref="B6:F6"/>
    <mergeCell ref="B7:F7"/>
    <mergeCell ref="B8:F8"/>
    <mergeCell ref="B2:F2"/>
    <mergeCell ref="B16:F16"/>
    <mergeCell ref="B17:F17"/>
    <mergeCell ref="B3:F3"/>
    <mergeCell ref="B4:F4"/>
    <mergeCell ref="B11:F11"/>
    <mergeCell ref="B12:F12"/>
    <mergeCell ref="B13:F13"/>
    <mergeCell ref="B14:F14"/>
    <mergeCell ref="B15:F15"/>
    <mergeCell ref="B9:F9"/>
    <mergeCell ref="B10:F10"/>
    <mergeCell ref="B18:F18"/>
    <mergeCell ref="B54:F54"/>
    <mergeCell ref="B53:F53"/>
    <mergeCell ref="B48:F48"/>
    <mergeCell ref="B49:F49"/>
    <mergeCell ref="B50:F50"/>
    <mergeCell ref="B24:F24"/>
    <mergeCell ref="B25:F25"/>
    <mergeCell ref="B26:F26"/>
    <mergeCell ref="B27:F27"/>
    <mergeCell ref="B30:F30"/>
    <mergeCell ref="B19:F19"/>
    <mergeCell ref="B20:F20"/>
    <mergeCell ref="B21:F21"/>
    <mergeCell ref="B22:F22"/>
    <mergeCell ref="B23:F23"/>
    <mergeCell ref="B34:F34"/>
    <mergeCell ref="B42:F42"/>
    <mergeCell ref="B38:F38"/>
    <mergeCell ref="B47:F47"/>
    <mergeCell ref="B46:F46"/>
    <mergeCell ref="B28:F28"/>
    <mergeCell ref="B29:F29"/>
    <mergeCell ref="B31:F31"/>
    <mergeCell ref="B32:F32"/>
    <mergeCell ref="B33:F33"/>
    <mergeCell ref="A55:A58"/>
    <mergeCell ref="B56:F56"/>
    <mergeCell ref="B57:F57"/>
    <mergeCell ref="B58:F58"/>
    <mergeCell ref="B51:F51"/>
    <mergeCell ref="A51:A54"/>
    <mergeCell ref="A11:A14"/>
    <mergeCell ref="A15:A18"/>
    <mergeCell ref="A23:A26"/>
    <mergeCell ref="A19:A22"/>
    <mergeCell ref="A27:A30"/>
    <mergeCell ref="A31:A34"/>
    <mergeCell ref="A39:A42"/>
    <mergeCell ref="A35:A38"/>
    <mergeCell ref="A47:A50"/>
    <mergeCell ref="A43:A46"/>
    <mergeCell ref="B59:F59"/>
    <mergeCell ref="B60:F60"/>
    <mergeCell ref="B61:F61"/>
    <mergeCell ref="B62:F62"/>
    <mergeCell ref="A59:A6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workbookViewId="0">
      <selection sqref="A1:A3"/>
    </sheetView>
  </sheetViews>
  <sheetFormatPr defaultColWidth="14.375" defaultRowHeight="15" customHeight="1"/>
  <cols>
    <col min="1" max="1" width="39.75" customWidth="1"/>
    <col min="2" max="2" width="27" customWidth="1"/>
    <col min="3" max="3" width="24" customWidth="1"/>
    <col min="4" max="4" width="26.375" customWidth="1"/>
    <col min="5" max="5" width="19" customWidth="1"/>
    <col min="6" max="6" width="19.875" customWidth="1"/>
    <col min="7" max="7" width="20.375" customWidth="1"/>
    <col min="8" max="8" width="20.125" customWidth="1"/>
    <col min="9" max="9" width="18.375" customWidth="1"/>
    <col min="10" max="13" width="18.25" customWidth="1"/>
    <col min="14" max="14" width="17.25" customWidth="1"/>
    <col min="15" max="15" width="13.75" customWidth="1"/>
    <col min="16" max="16" width="17.625" customWidth="1"/>
    <col min="17" max="17" width="14.375" customWidth="1"/>
  </cols>
  <sheetData>
    <row r="1" spans="1:17">
      <c r="A1" s="38" t="s">
        <v>75</v>
      </c>
      <c r="B1" s="34" t="s">
        <v>76</v>
      </c>
      <c r="C1" s="34" t="s">
        <v>77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>
      <c r="A2" s="32"/>
      <c r="B2" s="32"/>
      <c r="C2" s="39" t="s">
        <v>78</v>
      </c>
      <c r="D2" s="40"/>
      <c r="E2" s="41" t="s">
        <v>79</v>
      </c>
      <c r="F2" s="40"/>
      <c r="G2" s="40"/>
      <c r="H2" s="40"/>
      <c r="I2" s="42" t="s">
        <v>80</v>
      </c>
      <c r="J2" s="40"/>
      <c r="K2" s="43" t="s">
        <v>81</v>
      </c>
      <c r="L2" s="40"/>
      <c r="M2" s="40"/>
      <c r="N2" s="40"/>
      <c r="O2" s="44" t="s">
        <v>82</v>
      </c>
      <c r="P2" s="40"/>
      <c r="Q2" s="11" t="s">
        <v>83</v>
      </c>
    </row>
    <row r="3" spans="1:17" ht="69.75" customHeight="1">
      <c r="A3" s="32"/>
      <c r="B3" s="32"/>
      <c r="C3" s="12" t="s">
        <v>84</v>
      </c>
      <c r="D3" t="s">
        <v>85</v>
      </c>
      <c r="E3" s="12" t="s">
        <v>86</v>
      </c>
      <c r="F3" s="13" t="s">
        <v>87</v>
      </c>
      <c r="G3" s="13" t="s">
        <v>88</v>
      </c>
      <c r="H3" s="12" t="s">
        <v>89</v>
      </c>
      <c r="I3" s="12" t="s">
        <v>90</v>
      </c>
      <c r="J3" s="12" t="s">
        <v>91</v>
      </c>
      <c r="K3" s="12" t="s">
        <v>92</v>
      </c>
      <c r="L3" s="12" t="s">
        <v>93</v>
      </c>
      <c r="M3" s="12" t="s">
        <v>94</v>
      </c>
      <c r="N3" s="12" t="s">
        <v>95</v>
      </c>
      <c r="O3" s="12" t="s">
        <v>96</v>
      </c>
      <c r="P3" s="12" t="s">
        <v>97</v>
      </c>
      <c r="Q3" s="12" t="s">
        <v>98</v>
      </c>
    </row>
    <row r="4" spans="1:17" ht="15.75" customHeight="1">
      <c r="A4" s="12" t="s">
        <v>99</v>
      </c>
      <c r="B4" s="14" t="s">
        <v>100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25">
      <c r="A5" s="15" t="s">
        <v>101</v>
      </c>
      <c r="B5" s="16">
        <v>3.3000000000000002E-2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25">
      <c r="A6" s="15" t="s">
        <v>102</v>
      </c>
      <c r="B6" s="16">
        <v>0.16819999999999999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25">
      <c r="A7" s="15" t="s">
        <v>103</v>
      </c>
      <c r="B7" s="16">
        <v>2.5000000000000001E-3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25">
      <c r="A8" s="15" t="s">
        <v>104</v>
      </c>
      <c r="B8" s="16">
        <v>0.41599999999999998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4.25">
      <c r="A9" s="15" t="s">
        <v>105</v>
      </c>
      <c r="B9" s="17" t="s">
        <v>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25">
      <c r="A10" s="15" t="s">
        <v>106</v>
      </c>
      <c r="B10" s="17" t="s">
        <v>62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25">
      <c r="A11" s="15" t="s">
        <v>107</v>
      </c>
      <c r="B11" s="16">
        <v>4.1000000000000003E-3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4.25">
      <c r="A12" s="15" t="s">
        <v>108</v>
      </c>
      <c r="B12" s="16">
        <v>2.1399999999999999E-2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4.25">
      <c r="A13" s="15" t="s">
        <v>109</v>
      </c>
      <c r="B13" s="16">
        <v>0.23269999999999999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25">
      <c r="A14" s="15" t="s">
        <v>110</v>
      </c>
      <c r="B14" s="16">
        <v>1.23E-2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25">
      <c r="A15" s="15" t="s">
        <v>111</v>
      </c>
      <c r="B15" s="16">
        <v>5.9200000000000003E-2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4.25">
      <c r="A16" s="15" t="s">
        <v>112</v>
      </c>
      <c r="B16" s="16">
        <v>1.4E-2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4.25">
      <c r="A17" s="15" t="s">
        <v>113</v>
      </c>
      <c r="B17" s="16">
        <v>3.0000000000000001E-3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25">
      <c r="A18" s="15" t="s">
        <v>114</v>
      </c>
      <c r="B18" s="16">
        <v>1.5E-3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>
      <c r="A19" s="15" t="s">
        <v>115</v>
      </c>
      <c r="B19" s="16">
        <v>3.0000000000000001E-5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25">
      <c r="A20" s="15" t="s">
        <v>116</v>
      </c>
      <c r="B20" s="16">
        <v>1.1000000000000001E-3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>
      <c r="A21" s="15" t="s">
        <v>117</v>
      </c>
      <c r="B21" s="16">
        <v>7.0000000000000001E-3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customHeight="1">
      <c r="A22" s="15" t="s">
        <v>118</v>
      </c>
      <c r="B22" s="16">
        <v>2.9999999999999997E-4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75" customHeight="1">
      <c r="A23" s="15" t="s">
        <v>119</v>
      </c>
      <c r="B23" s="16">
        <v>1.2999999999999999E-2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75" customHeight="1">
      <c r="A24" s="6" t="s">
        <v>120</v>
      </c>
      <c r="B24" s="18">
        <f>SUM(B5:B23)</f>
        <v>0.98932999999999982</v>
      </c>
      <c r="C24" t="e">
        <f>B4*C4+B5*C5+B6*C6+B7*C7+B8*C8+B9*C9+B10*C10+B11*C11+B12*C12+B13*C13+B14*C14+B15*C15+B16*C16+B17*C17+B18*C18+B19*C19+B20*C20+B21*C21+B22*C22+B23*C23</f>
        <v>#VALUE!</v>
      </c>
      <c r="D24" t="e">
        <f>B4*D4+B5*D5+B6*D6+B7*D7+B8*D8+C9*B9+B10*D10+B11*D11+B12*D12+B13*D13+B14*D14+B15*D15+B16*D16+B17*D17+B18*D18+B19*D19+B20*D20+B21*D21+B22*D22+B23*D23</f>
        <v>#VALUE!</v>
      </c>
      <c r="E24" t="e">
        <f>B4*E4+B5*E5+B6*E6+B7*E7+B8*E8+B9*C9+B10*E10+B11*E11+B12*E12+B13*E13+B14*E14+B15*E15+B16*E16+B17*E17+B18*E18+B19*E19+B20*E20+B21*E21+B22*E22+B23*E23</f>
        <v>#VALUE!</v>
      </c>
      <c r="F24" t="e">
        <f>B4*F4+B5*F5+B6*F6+B7*F7+B8*F8+B9*D9+B10*F10+B11*F11+B12*F12+B13*F13+B14*F14+B15*F15+B16*F16+B17*F17+B18*F18+B19*F19+B20*F20+B21*F21+B22*F22+B23*F23</f>
        <v>#VALUE!</v>
      </c>
      <c r="G24" t="e">
        <f>B4*G4+B5*G5+B6*G6+B7*G7+B8*G8+B9*E9+B10*G10+B11*G11+B12*G12+B13*G13+B14*G14+B15*G15+B16*G16+B17*G17+B18*G18+B19*G19+B20*G20+B21*G21+B22*G22+B23*G23</f>
        <v>#VALUE!</v>
      </c>
      <c r="H24" t="e">
        <f>B4*H4+B5*H5+B6*H6+B7*H7+B8*H8+B9*F9+B10*H10+B11*H11+B12*H12+B13*H13+B14*H14+B15*H15+B16*H16+B17*H17+B18*H18+B19*H19+B20*H20+B21*H21+B22*H22+B23*H23</f>
        <v>#VALUE!</v>
      </c>
      <c r="I24" t="e">
        <f>B4*I4+B5*I5+B6*I6+B7*I7+B8*I8+B9*G9+B10*I10+B11*I11+B12*I12+B13*I13+B14*I14+B15*I15+B16*I16+B17*I17+B18*I18+B19*I19+B20*I20+B21*I21+B22*I22+B23*I23</f>
        <v>#VALUE!</v>
      </c>
      <c r="J24" t="e">
        <f>B4*J4+B5*J5+B6*J6+B7*J7+B8*J8+B9*H9+B10*J10+B11*J11+B12*J12+B13*J13+B14*J14+B15*J15+B16*J16+B17*J17+B18*J18+B19*J19+B20*J20+B21*J21+B22*J22+B23*J23</f>
        <v>#VALUE!</v>
      </c>
      <c r="K24" t="e">
        <f>B4*K4+B5*K5+B6*K6+B7*K7+B8*K8+B9*I9+B10*K10+B11*K11+B12*K12+B13*K13+B14*K14+B15*K15+B16*K16+B17*K17+B18*K18+B19*K19+B20*K20+B21*K21+B22*K22+B23*K23</f>
        <v>#VALUE!</v>
      </c>
      <c r="L24" t="e">
        <f>B4*L4+B5*L5+B6*L6+B7*L7+B8*L8+B9*L9+B10*L10+B11*L11+B12*L12+B13*L13+B14*L14+B15*L15+B16*L16+B17*L17+B18*L18+B19*L19+B20*L20+B21*L21+B22*L22+B23*L23</f>
        <v>#VALUE!</v>
      </c>
      <c r="M24" t="e">
        <f>B4*M4+B5*M5+B6*M6+B7*M7+B8*M8+B9*M9+B10*M10+B11*M11+B12*M12+B13*M13+B14*M14+B15*M15+B16*M16+B17*M17+B18*M18+B19*M19+B20*M20+B21*M21+B22*M22+B23*M23</f>
        <v>#VALUE!</v>
      </c>
      <c r="N24" t="e">
        <f>B4*N4+B5*N5+B6*N6+B7*N7+B8*N8+B9*N9+B10*N10+B11*N11+B12*N12+B13*N13+B14*N14+B15*N15+B16*N16+B17*N17+B18*N18+B19*N19+B20*N20+B21*N21+B22*N22+B23*N23</f>
        <v>#VALUE!</v>
      </c>
      <c r="O24" t="e">
        <f>B4*O4+B5*O5+B6*O6+B7*O7+B8*O8+B9*O9+B10*O10+B11*O11+B12*O12+B13*O13+B14*O14+B15*O15+B16*O16+B17*O17+B18*O18+B19*O19+B20*O20+B21*O21+B22*O22+B23*O23</f>
        <v>#VALUE!</v>
      </c>
      <c r="P24" t="e">
        <f>B4*P4+B5*P5+B6*P6+B7*P7+B8*P8+B9*P9+B10*P10+B11*P11+B12*P12+B13*P13+B14*P14+B15*P15+C16*P16+B17*P17+B18*P18+B19*P19+B20*P20+B21*P21+B22*P22+B23*P23</f>
        <v>#VALUE!</v>
      </c>
      <c r="Q24" t="e">
        <f>B4*Q4+B5*Q5+B6*Q6+B7*Q7+B8*Q8+B9*Q9+B10*Q10+B11*Q11+B12*Q12+B13*Q13+B14*Q14+B15*Q15+B16*Q16+B17*Q17+B18*Q18+B19*Q19+B20*Q20+B21*Q21+B22*Q22+B23*Q23</f>
        <v>#VALUE!</v>
      </c>
    </row>
    <row r="25" spans="1:17" ht="15.75" customHeight="1"/>
    <row r="26" spans="1:17" ht="15.75" customHeight="1"/>
    <row r="27" spans="1:17" ht="15.75" customHeight="1"/>
    <row r="28" spans="1:17" ht="15" customHeight="1">
      <c r="C28" s="12"/>
    </row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A3"/>
    <mergeCell ref="B1:B3"/>
    <mergeCell ref="C1:Q1"/>
    <mergeCell ref="C2:D2"/>
    <mergeCell ref="E2:H2"/>
    <mergeCell ref="I2:J2"/>
    <mergeCell ref="K2:N2"/>
    <mergeCell ref="O2:P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tabSelected="1" workbookViewId="0">
      <selection activeCell="A20" sqref="A20"/>
    </sheetView>
  </sheetViews>
  <sheetFormatPr defaultColWidth="14.375" defaultRowHeight="15" customHeight="1"/>
  <cols>
    <col min="1" max="1" width="39.75" customWidth="1"/>
    <col min="2" max="2" width="8.75" customWidth="1"/>
    <col min="3" max="3" width="23.375" customWidth="1"/>
    <col min="4" max="4" width="23.25" customWidth="1"/>
    <col min="5" max="5" width="19" customWidth="1"/>
    <col min="6" max="6" width="19.875" customWidth="1"/>
    <col min="7" max="7" width="20.375" customWidth="1"/>
    <col min="8" max="8" width="20.125" customWidth="1"/>
    <col min="9" max="9" width="18.375" customWidth="1"/>
    <col min="10" max="13" width="18.25" customWidth="1"/>
    <col min="14" max="14" width="15.875" customWidth="1"/>
    <col min="15" max="15" width="13.75" customWidth="1"/>
    <col min="16" max="16" width="17.625" customWidth="1"/>
    <col min="17" max="17" width="14.375" customWidth="1"/>
    <col min="18" max="21" width="8.75" customWidth="1"/>
  </cols>
  <sheetData>
    <row r="1" spans="1:21">
      <c r="A1" s="38" t="s">
        <v>121</v>
      </c>
      <c r="B1" s="34" t="s">
        <v>122</v>
      </c>
      <c r="C1" s="34" t="s">
        <v>123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21">
      <c r="A2" s="32"/>
      <c r="B2" s="32"/>
      <c r="C2" s="39" t="s">
        <v>78</v>
      </c>
      <c r="D2" s="40"/>
      <c r="E2" s="41" t="s">
        <v>79</v>
      </c>
      <c r="F2" s="40"/>
      <c r="G2" s="40"/>
      <c r="H2" s="40"/>
      <c r="I2" s="42" t="s">
        <v>80</v>
      </c>
      <c r="J2" s="40"/>
      <c r="K2" s="43" t="s">
        <v>81</v>
      </c>
      <c r="L2" s="40"/>
      <c r="M2" s="40"/>
      <c r="N2" s="40"/>
      <c r="O2" s="44" t="s">
        <v>82</v>
      </c>
      <c r="P2" s="40"/>
      <c r="Q2" s="11" t="s">
        <v>83</v>
      </c>
    </row>
    <row r="3" spans="1:21" ht="66.75" customHeight="1">
      <c r="A3" s="32"/>
      <c r="B3" s="32"/>
      <c r="C3" s="12" t="s">
        <v>84</v>
      </c>
      <c r="D3" t="s">
        <v>85</v>
      </c>
      <c r="E3" s="12" t="s">
        <v>86</v>
      </c>
      <c r="F3" s="13" t="s">
        <v>87</v>
      </c>
      <c r="G3" s="13" t="s">
        <v>88</v>
      </c>
      <c r="H3" s="12" t="s">
        <v>89</v>
      </c>
      <c r="I3" s="12" t="s">
        <v>90</v>
      </c>
      <c r="J3" s="12" t="s">
        <v>91</v>
      </c>
      <c r="K3" s="12" t="s">
        <v>92</v>
      </c>
      <c r="L3" s="12" t="s">
        <v>93</v>
      </c>
      <c r="M3" s="12" t="s">
        <v>94</v>
      </c>
      <c r="N3" s="12" t="s">
        <v>95</v>
      </c>
      <c r="O3" s="12" t="s">
        <v>96</v>
      </c>
      <c r="P3" s="12" t="s">
        <v>97</v>
      </c>
      <c r="Q3" s="12" t="s">
        <v>98</v>
      </c>
    </row>
    <row r="4" spans="1:21" ht="15.75" customHeight="1">
      <c r="A4" s="48" t="s">
        <v>124</v>
      </c>
      <c r="B4" s="19">
        <v>1</v>
      </c>
      <c r="C4" s="1"/>
      <c r="D4" s="1"/>
      <c r="E4" s="1"/>
      <c r="F4" s="1"/>
      <c r="G4" s="1"/>
      <c r="H4" s="1"/>
      <c r="I4" s="1"/>
      <c r="J4" s="1"/>
      <c r="K4" s="2"/>
      <c r="L4" s="2"/>
      <c r="M4" s="1"/>
      <c r="N4" s="1"/>
      <c r="O4" s="2"/>
      <c r="P4" s="1"/>
      <c r="Q4" s="2"/>
    </row>
    <row r="5" spans="1:21" ht="14.25">
      <c r="A5" s="20" t="s">
        <v>125</v>
      </c>
      <c r="B5" s="19">
        <v>0</v>
      </c>
      <c r="C5" s="1"/>
      <c r="D5" s="1"/>
      <c r="E5" s="1"/>
      <c r="F5" s="1"/>
      <c r="G5" s="1"/>
      <c r="H5" s="1"/>
      <c r="I5" s="1"/>
      <c r="J5" s="1"/>
      <c r="K5" s="2"/>
      <c r="L5" s="2"/>
      <c r="M5" s="1"/>
      <c r="N5" s="1"/>
      <c r="O5" s="2"/>
      <c r="P5" s="1"/>
      <c r="Q5" s="2"/>
    </row>
    <row r="6" spans="1:21" ht="14.25">
      <c r="A6" s="20" t="s">
        <v>126</v>
      </c>
      <c r="B6" s="19">
        <v>0</v>
      </c>
      <c r="C6" s="1"/>
      <c r="D6" s="1"/>
      <c r="E6" s="1"/>
      <c r="F6" s="1"/>
      <c r="G6" s="1"/>
      <c r="H6" s="1"/>
      <c r="I6" s="1"/>
      <c r="J6" s="1"/>
      <c r="K6" s="2"/>
      <c r="L6" s="2"/>
      <c r="M6" s="1"/>
      <c r="N6" s="1"/>
      <c r="O6" s="2"/>
      <c r="P6" s="1"/>
      <c r="Q6" s="2"/>
    </row>
    <row r="7" spans="1:21" ht="14.25">
      <c r="A7" s="20" t="s">
        <v>127</v>
      </c>
      <c r="B7" s="19">
        <v>0</v>
      </c>
      <c r="C7" s="1"/>
      <c r="D7" s="1"/>
      <c r="E7" s="1"/>
      <c r="F7" s="1"/>
      <c r="G7" s="1"/>
      <c r="H7" s="1"/>
      <c r="I7" s="1"/>
      <c r="J7" s="1"/>
      <c r="K7" s="2"/>
      <c r="L7" s="2"/>
      <c r="M7" s="1"/>
      <c r="N7" s="1"/>
      <c r="O7" s="2"/>
      <c r="P7" s="1"/>
      <c r="Q7" s="2"/>
      <c r="U7" s="1"/>
    </row>
    <row r="8" spans="1:21" ht="14.25">
      <c r="A8" s="49" t="s">
        <v>128</v>
      </c>
      <c r="B8" s="19">
        <v>1</v>
      </c>
      <c r="C8" s="1"/>
      <c r="D8" s="1"/>
      <c r="E8" s="1"/>
      <c r="F8" s="1"/>
      <c r="G8" s="1"/>
      <c r="H8" s="1"/>
      <c r="I8" s="1"/>
      <c r="J8" s="1"/>
      <c r="K8" s="2"/>
      <c r="L8" s="2"/>
      <c r="M8" s="1"/>
      <c r="N8" s="1"/>
      <c r="O8" s="2"/>
      <c r="P8" s="1"/>
      <c r="Q8" s="2"/>
    </row>
    <row r="9" spans="1:21" ht="14.25">
      <c r="A9" s="20" t="s">
        <v>129</v>
      </c>
      <c r="B9" s="1">
        <v>0</v>
      </c>
      <c r="C9" s="1"/>
      <c r="D9" s="1"/>
      <c r="E9" s="1"/>
      <c r="F9" s="1"/>
      <c r="G9" s="1"/>
      <c r="H9" s="1"/>
      <c r="I9" s="1"/>
      <c r="J9" s="1"/>
      <c r="K9" s="2"/>
      <c r="L9" s="2"/>
      <c r="M9" s="1"/>
      <c r="N9" s="1"/>
      <c r="O9" s="2"/>
      <c r="P9" s="1"/>
      <c r="Q9" s="2"/>
    </row>
    <row r="10" spans="1:21" ht="14.25">
      <c r="A10" s="49" t="s">
        <v>130</v>
      </c>
      <c r="B10" s="1">
        <v>1</v>
      </c>
      <c r="C10" s="1"/>
      <c r="D10" s="1"/>
      <c r="E10" s="1"/>
      <c r="F10" s="1"/>
      <c r="G10" s="1"/>
      <c r="H10" s="1"/>
      <c r="I10" s="1"/>
      <c r="J10" s="1"/>
      <c r="K10" s="2"/>
      <c r="L10" s="2"/>
      <c r="M10" s="1"/>
      <c r="N10" s="1"/>
      <c r="O10" s="2"/>
      <c r="P10" s="1"/>
      <c r="Q10" s="2"/>
    </row>
    <row r="11" spans="1:21" ht="14.25">
      <c r="A11" s="20" t="s">
        <v>131</v>
      </c>
      <c r="B11" s="1">
        <v>0</v>
      </c>
      <c r="C11" s="1"/>
      <c r="D11" s="1"/>
      <c r="E11" s="1"/>
      <c r="F11" s="1"/>
      <c r="G11" s="1"/>
      <c r="H11" s="1"/>
      <c r="I11" s="1"/>
      <c r="J11" s="1"/>
      <c r="K11" s="2"/>
      <c r="L11" s="2"/>
      <c r="M11" s="1"/>
      <c r="N11" s="1"/>
      <c r="O11" s="2"/>
      <c r="P11" s="1"/>
      <c r="Q11" s="2"/>
    </row>
    <row r="12" spans="1:21" ht="14.25">
      <c r="A12" s="49" t="s">
        <v>132</v>
      </c>
      <c r="B12" s="1">
        <v>1</v>
      </c>
      <c r="C12" s="1"/>
      <c r="D12" s="1"/>
      <c r="E12" s="1"/>
      <c r="F12" s="1"/>
      <c r="G12" s="1"/>
      <c r="H12" s="1"/>
      <c r="I12" s="1"/>
      <c r="J12" s="1"/>
      <c r="K12" s="2"/>
      <c r="L12" s="2"/>
      <c r="M12" s="1"/>
      <c r="N12" s="1"/>
      <c r="O12" s="2"/>
      <c r="P12" s="1"/>
      <c r="Q12" s="2"/>
    </row>
    <row r="13" spans="1:21" ht="14.25">
      <c r="A13" s="49" t="s">
        <v>133</v>
      </c>
      <c r="B13" s="19">
        <v>1</v>
      </c>
      <c r="C13" s="1"/>
      <c r="D13" s="1"/>
      <c r="E13" s="1"/>
      <c r="F13" s="1"/>
      <c r="G13" s="1"/>
      <c r="H13" s="1"/>
      <c r="I13" s="1"/>
      <c r="J13" s="1"/>
      <c r="K13" s="2"/>
      <c r="L13" s="2"/>
      <c r="M13" s="1"/>
      <c r="N13" s="1"/>
      <c r="O13" s="2"/>
      <c r="P13" s="1"/>
      <c r="Q13" s="2"/>
    </row>
    <row r="14" spans="1:21" ht="14.25">
      <c r="A14" s="20" t="s">
        <v>134</v>
      </c>
      <c r="B14" s="19">
        <v>0</v>
      </c>
      <c r="C14" s="1"/>
      <c r="D14" s="1"/>
      <c r="E14" s="1"/>
      <c r="F14" s="1"/>
      <c r="G14" s="1"/>
      <c r="H14" s="1"/>
      <c r="I14" s="1"/>
      <c r="J14" s="1"/>
      <c r="K14" s="2"/>
      <c r="L14" s="2"/>
      <c r="M14" s="1"/>
      <c r="N14" s="1"/>
      <c r="O14" s="2"/>
      <c r="P14" s="1"/>
      <c r="Q14" s="2"/>
    </row>
    <row r="15" spans="1:21" ht="14.25">
      <c r="A15" s="20" t="s">
        <v>135</v>
      </c>
      <c r="B15" s="1">
        <v>0</v>
      </c>
      <c r="C15" s="1"/>
      <c r="D15" s="1"/>
      <c r="E15" s="1"/>
      <c r="F15" s="1"/>
      <c r="G15" s="1"/>
      <c r="H15" s="1"/>
      <c r="I15" s="1"/>
      <c r="J15" s="1"/>
      <c r="K15" s="2"/>
      <c r="L15" s="2"/>
      <c r="M15" s="1"/>
      <c r="N15" s="1"/>
      <c r="O15" s="2"/>
      <c r="P15" s="1"/>
      <c r="Q15" s="2"/>
    </row>
    <row r="16" spans="1:21" ht="14.25">
      <c r="A16" s="49" t="s">
        <v>136</v>
      </c>
      <c r="B16" s="1">
        <v>1</v>
      </c>
      <c r="C16" s="1"/>
      <c r="D16" s="1"/>
      <c r="E16" s="1"/>
      <c r="F16" s="1"/>
      <c r="G16" s="1"/>
      <c r="H16" s="1"/>
      <c r="I16" s="1"/>
      <c r="J16" s="1"/>
      <c r="K16" s="2"/>
      <c r="L16" s="2"/>
      <c r="M16" s="1"/>
      <c r="N16" s="1"/>
      <c r="O16" s="2"/>
      <c r="P16" s="1"/>
      <c r="Q16" s="2"/>
    </row>
    <row r="17" spans="1:17" ht="14.25">
      <c r="A17" t="s">
        <v>137</v>
      </c>
      <c r="B17" s="1">
        <v>0</v>
      </c>
      <c r="C17" s="1"/>
      <c r="D17" s="1"/>
      <c r="E17" s="1"/>
      <c r="F17" s="1"/>
      <c r="G17" s="1"/>
      <c r="H17" s="1"/>
      <c r="I17" s="1"/>
      <c r="J17" s="1"/>
      <c r="K17" s="2"/>
      <c r="L17" s="2"/>
      <c r="M17" s="1"/>
      <c r="N17" s="1"/>
      <c r="O17" s="2"/>
      <c r="P17" s="1"/>
      <c r="Q17" s="2"/>
    </row>
    <row r="18" spans="1:17" ht="14.25">
      <c r="A18" t="s">
        <v>138</v>
      </c>
      <c r="B18" s="1">
        <v>0</v>
      </c>
      <c r="C18" s="1"/>
      <c r="D18" s="1"/>
      <c r="E18" s="1"/>
      <c r="F18" s="1"/>
      <c r="G18" s="1"/>
      <c r="H18" s="1"/>
      <c r="I18" s="1"/>
      <c r="J18" s="1"/>
      <c r="K18" s="2"/>
      <c r="L18" s="2"/>
      <c r="M18" s="1"/>
      <c r="N18" s="1"/>
      <c r="O18" s="2"/>
      <c r="P18" s="1"/>
      <c r="Q18" s="2"/>
    </row>
    <row r="19" spans="1:17" ht="14.25">
      <c r="A19" t="s">
        <v>139</v>
      </c>
      <c r="B19" s="1">
        <v>0</v>
      </c>
      <c r="C19" s="1"/>
      <c r="D19" s="1"/>
      <c r="E19" s="1"/>
      <c r="F19" s="1"/>
      <c r="G19" s="1"/>
      <c r="H19" s="1"/>
      <c r="I19" s="1"/>
      <c r="J19" s="1"/>
      <c r="K19" s="2"/>
      <c r="L19" s="2"/>
      <c r="M19" s="1"/>
      <c r="N19" s="1"/>
      <c r="O19" s="2"/>
      <c r="P19" s="1"/>
      <c r="Q19" s="2"/>
    </row>
    <row r="20" spans="1:17" ht="14.25">
      <c r="A20" s="50" t="s">
        <v>140</v>
      </c>
      <c r="B20" s="19">
        <v>1</v>
      </c>
      <c r="C20" s="1"/>
      <c r="D20" s="1"/>
      <c r="E20" s="1"/>
      <c r="F20" s="1"/>
      <c r="G20" s="1"/>
      <c r="H20" s="1"/>
      <c r="I20" s="1"/>
      <c r="J20" s="1"/>
      <c r="K20" s="2"/>
      <c r="L20" s="2"/>
      <c r="M20" s="1"/>
      <c r="N20" s="1"/>
      <c r="O20" s="2"/>
      <c r="P20" s="1"/>
      <c r="Q20" s="2"/>
    </row>
    <row r="21" spans="1:17" ht="15.75" customHeight="1">
      <c r="A21" s="6" t="s">
        <v>141</v>
      </c>
    </row>
    <row r="22" spans="1:17" ht="15" customHeight="1">
      <c r="A22" t="s">
        <v>142</v>
      </c>
      <c r="C22">
        <f>C5*B5+C7*B7+C10*B10+C12*B12+C14*B14+C16*B16</f>
        <v>0</v>
      </c>
      <c r="D22">
        <f>D5*B5+D7*B7+D10*B10+D12*B12+D14*B14+D16*B16</f>
        <v>0</v>
      </c>
      <c r="E22">
        <f>E5*B5+E7*B7+E10*B10+E12*B12+E14*B14+E16*B16</f>
        <v>0</v>
      </c>
      <c r="F22">
        <f>F5*B5+F7*B7+F10*B10+F12*B12+F14*B14+F16*B16</f>
        <v>0</v>
      </c>
      <c r="G22">
        <f>G5*B5+G7*B7+G10*B10+G12*B12+G14*B14+G16*B16</f>
        <v>0</v>
      </c>
      <c r="H22">
        <f>H5*B5+H7*B7+H10*B10+H12*B12+H14*B14+H16*B16</f>
        <v>0</v>
      </c>
      <c r="I22">
        <f>I5*B5+I7*B7+I10*B10+I12*B12+I14*B14+I16*B16</f>
        <v>0</v>
      </c>
      <c r="J22">
        <f>J5*B5+J7*B7+J10*B10+J12*B12+J14*B14+J16*B16</f>
        <v>0</v>
      </c>
      <c r="K22">
        <f>K5*B5+K7*B7+K10*B10+K12*B12+K14*B14+K16*B16</f>
        <v>0</v>
      </c>
      <c r="L22">
        <f>L5*B5+L7*B7+L10*B10+L12*B12+L14*B14+L16*B16</f>
        <v>0</v>
      </c>
      <c r="M22">
        <f>M5*B5+M7*B7+M10*B10+M12*B12+M14*B14+M16*B16</f>
        <v>0</v>
      </c>
      <c r="N22">
        <f>N5*B5+N7*B7+N10*B10+N12*B12+N14*B14+N16*B16</f>
        <v>0</v>
      </c>
      <c r="O22">
        <f>O5*B5+O7*B7+O10*B10+O12*B12+O14*B14+O16*B16</f>
        <v>0</v>
      </c>
      <c r="P22">
        <f>P5*B5+P7*B7+P10*B10+P12*B12+P14*B14+P16*B16</f>
        <v>0</v>
      </c>
      <c r="Q22">
        <f>Q5*B5+Q7*B7+Q10*B10+Q12*B12+Q14*B14+Q16*B16</f>
        <v>0</v>
      </c>
    </row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A3"/>
    <mergeCell ref="B1:B3"/>
    <mergeCell ref="C1:Q1"/>
    <mergeCell ref="C2:D2"/>
    <mergeCell ref="E2:H2"/>
    <mergeCell ref="I2:J2"/>
    <mergeCell ref="K2:N2"/>
    <mergeCell ref="O2:P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workbookViewId="0">
      <selection sqref="A1:A3"/>
    </sheetView>
  </sheetViews>
  <sheetFormatPr defaultColWidth="14.375" defaultRowHeight="15" customHeight="1"/>
  <cols>
    <col min="1" max="1" width="29" customWidth="1"/>
    <col min="2" max="2" width="25" customWidth="1"/>
    <col min="3" max="3" width="18.875" customWidth="1"/>
    <col min="4" max="4" width="17.25" customWidth="1"/>
    <col min="5" max="5" width="16.375" customWidth="1"/>
    <col min="6" max="6" width="18" customWidth="1"/>
    <col min="7" max="7" width="12.375" customWidth="1"/>
    <col min="8" max="8" width="17.875" customWidth="1"/>
    <col min="9" max="13" width="14.375" customWidth="1"/>
    <col min="14" max="14" width="19.25" customWidth="1"/>
    <col min="15" max="15" width="13.625" customWidth="1"/>
    <col min="16" max="16" width="12.75" customWidth="1"/>
    <col min="17" max="23" width="8.75" customWidth="1"/>
  </cols>
  <sheetData>
    <row r="1" spans="1:23">
      <c r="A1" s="34" t="s">
        <v>143</v>
      </c>
      <c r="B1" s="46" t="s">
        <v>144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21"/>
      <c r="R1" s="21"/>
      <c r="S1" s="21"/>
      <c r="T1" s="21"/>
      <c r="U1" s="21"/>
      <c r="V1" s="21"/>
      <c r="W1" s="21"/>
    </row>
    <row r="2" spans="1:23">
      <c r="A2" s="32"/>
      <c r="B2" s="39" t="s">
        <v>78</v>
      </c>
      <c r="C2" s="40"/>
      <c r="D2" s="41" t="s">
        <v>79</v>
      </c>
      <c r="E2" s="40"/>
      <c r="F2" s="40"/>
      <c r="G2" s="40"/>
      <c r="H2" s="42" t="s">
        <v>80</v>
      </c>
      <c r="I2" s="40"/>
      <c r="J2" s="43" t="s">
        <v>81</v>
      </c>
      <c r="K2" s="40"/>
      <c r="L2" s="40"/>
      <c r="M2" s="40"/>
      <c r="N2" s="47" t="s">
        <v>82</v>
      </c>
      <c r="O2" s="40"/>
      <c r="P2" s="11" t="s">
        <v>83</v>
      </c>
    </row>
    <row r="3" spans="1:23" ht="51.75" customHeight="1">
      <c r="A3" s="32"/>
      <c r="B3" s="22" t="s">
        <v>84</v>
      </c>
      <c r="C3" s="23" t="s">
        <v>85</v>
      </c>
      <c r="D3" s="22" t="s">
        <v>86</v>
      </c>
      <c r="E3" s="24" t="s">
        <v>87</v>
      </c>
      <c r="F3" s="24" t="s">
        <v>88</v>
      </c>
      <c r="G3" s="22" t="s">
        <v>89</v>
      </c>
      <c r="H3" s="22" t="s">
        <v>90</v>
      </c>
      <c r="I3" s="22" t="s">
        <v>91</v>
      </c>
      <c r="J3" s="25" t="s">
        <v>92</v>
      </c>
      <c r="K3" s="25" t="s">
        <v>93</v>
      </c>
      <c r="L3" s="25" t="s">
        <v>94</v>
      </c>
      <c r="M3" s="25" t="s">
        <v>95</v>
      </c>
      <c r="N3" s="22" t="s">
        <v>96</v>
      </c>
      <c r="O3" s="26" t="s">
        <v>97</v>
      </c>
      <c r="P3" s="22" t="s">
        <v>98</v>
      </c>
      <c r="Q3" s="26" t="s">
        <v>145</v>
      </c>
    </row>
    <row r="4" spans="1:23">
      <c r="A4" s="27" t="s">
        <v>120</v>
      </c>
      <c r="B4">
        <v>0.70750000000000013</v>
      </c>
      <c r="C4">
        <v>0.58750000000000013</v>
      </c>
      <c r="D4">
        <v>0.61250000000000016</v>
      </c>
      <c r="E4">
        <v>0.62750000000000017</v>
      </c>
      <c r="F4">
        <v>0.70750000000000013</v>
      </c>
      <c r="G4">
        <v>0.58750000000000013</v>
      </c>
      <c r="H4">
        <v>0.58750000000000013</v>
      </c>
      <c r="I4">
        <v>0.58750000000000013</v>
      </c>
      <c r="J4">
        <v>0.86750000000000005</v>
      </c>
      <c r="K4">
        <v>2.3799999999999994</v>
      </c>
      <c r="L4">
        <v>0.70750000000000002</v>
      </c>
      <c r="M4">
        <v>0.84750000000000014</v>
      </c>
      <c r="N4">
        <v>0.75250000000000006</v>
      </c>
      <c r="O4">
        <v>2.6524999999999999</v>
      </c>
      <c r="P4">
        <v>0.73750000000000004</v>
      </c>
      <c r="Q4">
        <f t="shared" ref="Q4:Q6" si="0">SUM(B4:P4)</f>
        <v>13.950000000000001</v>
      </c>
    </row>
    <row r="5" spans="1:23">
      <c r="A5" s="27" t="s">
        <v>141</v>
      </c>
      <c r="B5">
        <v>11</v>
      </c>
      <c r="C5">
        <v>11</v>
      </c>
      <c r="D5">
        <v>11</v>
      </c>
      <c r="E5">
        <v>11</v>
      </c>
      <c r="F5">
        <v>11</v>
      </c>
      <c r="G5">
        <v>7</v>
      </c>
      <c r="H5">
        <v>7</v>
      </c>
      <c r="I5">
        <v>9</v>
      </c>
      <c r="J5">
        <v>9</v>
      </c>
      <c r="K5">
        <v>17</v>
      </c>
      <c r="L5">
        <v>11</v>
      </c>
      <c r="M5">
        <v>6</v>
      </c>
      <c r="N5">
        <v>7</v>
      </c>
      <c r="O5">
        <v>7</v>
      </c>
      <c r="P5">
        <v>7</v>
      </c>
      <c r="Q5">
        <f t="shared" si="0"/>
        <v>142</v>
      </c>
    </row>
    <row r="6" spans="1:23">
      <c r="A6" s="27" t="s">
        <v>146</v>
      </c>
      <c r="B6" s="27">
        <v>6.37</v>
      </c>
      <c r="C6" s="27">
        <v>7.18</v>
      </c>
      <c r="D6" s="27">
        <v>7.4</v>
      </c>
      <c r="E6" s="27">
        <v>7.35</v>
      </c>
      <c r="F6" s="27">
        <v>7.95</v>
      </c>
      <c r="G6" s="27">
        <v>5</v>
      </c>
      <c r="H6" s="27">
        <v>7.25</v>
      </c>
      <c r="I6" s="27">
        <v>3.35</v>
      </c>
      <c r="J6" s="27">
        <v>6.1</v>
      </c>
      <c r="K6" s="27">
        <v>9.1999999999999993</v>
      </c>
      <c r="L6" s="27">
        <v>7.1</v>
      </c>
      <c r="M6" s="27">
        <v>5</v>
      </c>
      <c r="N6" s="27">
        <v>5.2</v>
      </c>
      <c r="O6" s="27">
        <v>7.6</v>
      </c>
      <c r="P6" s="27">
        <v>5.7</v>
      </c>
      <c r="Q6">
        <f t="shared" si="0"/>
        <v>97.75</v>
      </c>
    </row>
    <row r="7" spans="1:23" ht="15" customHeight="1">
      <c r="A7" s="45" t="s">
        <v>147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3" ht="15" customHeight="1">
      <c r="A8" s="27" t="s">
        <v>148</v>
      </c>
      <c r="B8" s="27">
        <f t="shared" ref="B8:P8" si="1">B4/13.95</f>
        <v>5.0716845878136213E-2</v>
      </c>
      <c r="C8" s="27">
        <f t="shared" si="1"/>
        <v>4.2114695340501801E-2</v>
      </c>
      <c r="D8" s="27">
        <f t="shared" si="1"/>
        <v>4.3906810035842306E-2</v>
      </c>
      <c r="E8" s="27">
        <f t="shared" si="1"/>
        <v>4.4982078853046607E-2</v>
      </c>
      <c r="F8" s="27">
        <f t="shared" si="1"/>
        <v>5.0716845878136213E-2</v>
      </c>
      <c r="G8" s="27">
        <f t="shared" si="1"/>
        <v>4.2114695340501801E-2</v>
      </c>
      <c r="H8" s="27">
        <f t="shared" si="1"/>
        <v>4.2114695340501801E-2</v>
      </c>
      <c r="I8" s="27">
        <f t="shared" si="1"/>
        <v>4.2114695340501801E-2</v>
      </c>
      <c r="J8" s="27">
        <f t="shared" si="1"/>
        <v>6.2186379928315418E-2</v>
      </c>
      <c r="K8" s="27">
        <f t="shared" si="1"/>
        <v>0.17060931899641574</v>
      </c>
      <c r="L8" s="27">
        <f t="shared" si="1"/>
        <v>5.0716845878136206E-2</v>
      </c>
      <c r="M8" s="27">
        <f t="shared" si="1"/>
        <v>6.0752688172043025E-2</v>
      </c>
      <c r="N8" s="27">
        <f t="shared" si="1"/>
        <v>5.3942652329749111E-2</v>
      </c>
      <c r="O8" s="27">
        <f t="shared" si="1"/>
        <v>0.19014336917562724</v>
      </c>
      <c r="P8" s="27">
        <f t="shared" si="1"/>
        <v>5.2867383512544809E-2</v>
      </c>
    </row>
    <row r="9" spans="1:23" ht="15" customHeight="1">
      <c r="A9" s="27" t="s">
        <v>149</v>
      </c>
      <c r="B9" s="27">
        <f t="shared" ref="B9:P9" si="2">B5/142</f>
        <v>7.746478873239436E-2</v>
      </c>
      <c r="C9" s="27">
        <f t="shared" si="2"/>
        <v>7.746478873239436E-2</v>
      </c>
      <c r="D9" s="27">
        <f t="shared" si="2"/>
        <v>7.746478873239436E-2</v>
      </c>
      <c r="E9" s="27">
        <f t="shared" si="2"/>
        <v>7.746478873239436E-2</v>
      </c>
      <c r="F9" s="27">
        <f t="shared" si="2"/>
        <v>7.746478873239436E-2</v>
      </c>
      <c r="G9" s="27">
        <f t="shared" si="2"/>
        <v>4.9295774647887321E-2</v>
      </c>
      <c r="H9" s="27">
        <f t="shared" si="2"/>
        <v>4.9295774647887321E-2</v>
      </c>
      <c r="I9" s="27">
        <f t="shared" si="2"/>
        <v>6.3380281690140844E-2</v>
      </c>
      <c r="J9" s="27">
        <f t="shared" si="2"/>
        <v>6.3380281690140844E-2</v>
      </c>
      <c r="K9" s="27">
        <f t="shared" si="2"/>
        <v>0.11971830985915492</v>
      </c>
      <c r="L9" s="27">
        <f t="shared" si="2"/>
        <v>7.746478873239436E-2</v>
      </c>
      <c r="M9" s="27">
        <f t="shared" si="2"/>
        <v>4.2253521126760563E-2</v>
      </c>
      <c r="N9" s="27">
        <f t="shared" si="2"/>
        <v>4.9295774647887321E-2</v>
      </c>
      <c r="O9" s="27">
        <f t="shared" si="2"/>
        <v>4.9295774647887321E-2</v>
      </c>
      <c r="P9" s="27">
        <f t="shared" si="2"/>
        <v>4.9295774647887321E-2</v>
      </c>
    </row>
    <row r="10" spans="1:23" ht="15" customHeight="1">
      <c r="A10" s="28" t="s">
        <v>150</v>
      </c>
      <c r="B10" s="27">
        <f t="shared" ref="B10:P10" si="3">B6/97.75</f>
        <v>6.5166240409207168E-2</v>
      </c>
      <c r="C10" s="27">
        <f t="shared" si="3"/>
        <v>7.3452685421994887E-2</v>
      </c>
      <c r="D10" s="27">
        <f t="shared" si="3"/>
        <v>7.5703324808184147E-2</v>
      </c>
      <c r="E10" s="27">
        <f t="shared" si="3"/>
        <v>7.5191815856777491E-2</v>
      </c>
      <c r="F10" s="27">
        <f t="shared" si="3"/>
        <v>8.132992327365729E-2</v>
      </c>
      <c r="G10" s="27">
        <f t="shared" si="3"/>
        <v>5.1150895140664961E-2</v>
      </c>
      <c r="H10" s="27">
        <f t="shared" si="3"/>
        <v>7.4168797953964194E-2</v>
      </c>
      <c r="I10" s="27">
        <f t="shared" si="3"/>
        <v>3.4271099744245526E-2</v>
      </c>
      <c r="J10" s="27">
        <f t="shared" si="3"/>
        <v>6.2404092071611253E-2</v>
      </c>
      <c r="K10" s="27">
        <f t="shared" si="3"/>
        <v>9.4117647058823528E-2</v>
      </c>
      <c r="L10" s="27">
        <f t="shared" si="3"/>
        <v>7.2634271099744241E-2</v>
      </c>
      <c r="M10" s="27">
        <f t="shared" si="3"/>
        <v>5.1150895140664961E-2</v>
      </c>
      <c r="N10" s="27">
        <f t="shared" si="3"/>
        <v>5.3196930946291562E-2</v>
      </c>
      <c r="O10" s="27">
        <f t="shared" si="3"/>
        <v>7.7749360613810742E-2</v>
      </c>
      <c r="P10" s="27">
        <f t="shared" si="3"/>
        <v>5.8312020460358056E-2</v>
      </c>
    </row>
    <row r="11" spans="1:23" ht="15" customHeight="1">
      <c r="A11" s="27"/>
      <c r="B11" s="27" t="s">
        <v>151</v>
      </c>
      <c r="C11" s="27">
        <v>0.3</v>
      </c>
      <c r="D11" s="27"/>
      <c r="E11" s="27" t="s">
        <v>152</v>
      </c>
      <c r="F11" s="27">
        <v>0.3</v>
      </c>
      <c r="G11" s="27"/>
      <c r="H11" s="27" t="s">
        <v>153</v>
      </c>
      <c r="I11" s="27">
        <v>0.4</v>
      </c>
      <c r="J11" s="27"/>
      <c r="K11" s="27"/>
      <c r="L11" s="27"/>
      <c r="M11" s="27"/>
      <c r="N11" s="27"/>
      <c r="O11" s="27"/>
      <c r="P11" s="27"/>
    </row>
    <row r="12" spans="1:23" ht="15" customHeight="1">
      <c r="A12" s="27" t="s">
        <v>154</v>
      </c>
      <c r="B12" s="27">
        <f>0.3*B8+0.4*B9+0.3*B10</f>
        <v>6.5750841379160763E-2</v>
      </c>
      <c r="C12" s="27">
        <f t="shared" ref="C12:P12" si="4">0.3*C8+0.3*C9+0.4*C10</f>
        <v>6.5254919390666799E-2</v>
      </c>
      <c r="D12" s="27">
        <f t="shared" si="4"/>
        <v>6.6692809553744653E-2</v>
      </c>
      <c r="E12" s="27">
        <f t="shared" si="4"/>
        <v>6.6810786618343276E-2</v>
      </c>
      <c r="F12" s="29">
        <f t="shared" si="4"/>
        <v>7.0986459692622086E-2</v>
      </c>
      <c r="G12" s="27">
        <f t="shared" si="4"/>
        <v>4.7883499052782719E-2</v>
      </c>
      <c r="H12" s="27">
        <f t="shared" si="4"/>
        <v>5.7090660178102416E-2</v>
      </c>
      <c r="I12" s="27">
        <f t="shared" si="4"/>
        <v>4.5356933006891004E-2</v>
      </c>
      <c r="J12" s="27">
        <f t="shared" si="4"/>
        <v>6.263163531418138E-2</v>
      </c>
      <c r="K12" s="29">
        <f t="shared" si="4"/>
        <v>0.12474534748020061</v>
      </c>
      <c r="L12" s="27">
        <f t="shared" si="4"/>
        <v>6.7508198823056864E-2</v>
      </c>
      <c r="M12" s="27">
        <f t="shared" si="4"/>
        <v>5.1362220845907067E-2</v>
      </c>
      <c r="N12" s="27">
        <f t="shared" si="4"/>
        <v>5.2250300471807551E-2</v>
      </c>
      <c r="O12" s="29">
        <f t="shared" si="4"/>
        <v>0.10293148739257865</v>
      </c>
      <c r="P12" s="27">
        <f t="shared" si="4"/>
        <v>5.3973755632272857E-2</v>
      </c>
    </row>
    <row r="13" spans="1:23" ht="15" customHeight="1">
      <c r="A13" s="27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7:P7"/>
    <mergeCell ref="A1:A3"/>
    <mergeCell ref="B2:C2"/>
    <mergeCell ref="D2:G2"/>
    <mergeCell ref="H2:I2"/>
    <mergeCell ref="B1:P1"/>
    <mergeCell ref="J2:M2"/>
    <mergeCell ref="N2:O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Barrier Score</vt:lpstr>
      <vt:lpstr>Cost Factor</vt:lpstr>
      <vt:lpstr>KPI Factor</vt:lpstr>
      <vt:lpstr>ISRI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 Parab</dc:creator>
  <cp:keywords/>
  <dc:description/>
  <cp:lastModifiedBy>DJSCE Student</cp:lastModifiedBy>
  <cp:revision/>
  <dcterms:created xsi:type="dcterms:W3CDTF">2024-08-14T06:03:55Z</dcterms:created>
  <dcterms:modified xsi:type="dcterms:W3CDTF">2026-02-24T05:45:25Z</dcterms:modified>
  <cp:category/>
  <cp:contentStatus/>
</cp:coreProperties>
</file>